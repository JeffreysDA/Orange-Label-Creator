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e439271\Documents\"/>
    </mc:Choice>
  </mc:AlternateContent>
  <xr:revisionPtr revIDLastSave="0" documentId="13_ncr:1_{06DD83BF-0AE7-4EDD-896B-05828025D3D7}" xr6:coauthVersionLast="47" xr6:coauthVersionMax="47" xr10:uidLastSave="{00000000-0000-0000-0000-000000000000}"/>
  <workbookProtection lockStructure="1"/>
  <bookViews>
    <workbookView xWindow="28680" yWindow="-120" windowWidth="29040" windowHeight="15840" xr2:uid="{00000000-000D-0000-FFFF-FFFF00000000}"/>
  </bookViews>
  <sheets>
    <sheet name="Welcome" sheetId="3" r:id="rId1"/>
    <sheet name="Values" sheetId="1" state="veryHidden" r:id="rId2"/>
    <sheet name="Labels" sheetId="2" state="veryHidden" r:id="rId3"/>
    <sheet name="DevMode" sheetId="4" state="veryHidden" r:id="rId4"/>
  </sheets>
  <functionGroups builtInGroupCount="19"/>
  <definedNames>
    <definedName name="Classification" comment="Classification Dropdown list used in Values sheet.">OFFSET(DevMode!$B$2,0,0,COUNTIF(DevMode!$B$2:$B$11,"&lt;&gt;"))</definedName>
    <definedName name="ClassificationAge" comment="Classification Age Dropdown list used in Values sheet.">OFFSET(DevMode!$B$35,0,0,COUNTIF(DevMode!$B$35:$B$39,"&lt;&gt;"))</definedName>
    <definedName name="ClassificationCaveats" comment="Classification Caveats Dropdown list used in Values sheet.">OFFSET(DevMode!$B$13,0,0,COUNTIF(DevMode!$B$13:$B$22,"&lt;&gt;"))</definedName>
    <definedName name="ClassificationReason" comment="Classification Reason Dropdown list used in Values sheet.">OFFSET(DevMode!$B$41,0,0,COUNTIF(DevMode!$B$41:$B$48,"&lt;&gt;"))</definedName>
    <definedName name="PortionMark" comment="Poertion Mark Dropdown list used in Values sheet.">OFFSET(DevMode!$B$24,0,0,COUNTIF(DevMode!$B$24:$B$33,"&lt;&gt;"))</definedName>
    <definedName name="States" comment="State Abbreviation Dropdown list used in Values sheet.">OFFSET(DevMode!$A$2,0,0,COUNTIF(DevMode!$A$2:$A$53,"&lt;&gt;"))</definedName>
    <definedName name="StorageScale" comment="Storage Scale Dropdown list used in Values sheet.">OFFSET(DevMode!$C$8,0,0,COUNTIF(DevMode!$C$8:$C$17,"&lt;&gt;"))</definedName>
    <definedName name="StorageType" comment="Storage Type Dropdown list used in Values sheet.">OFFSET(DevMode!$C$2,0,0,COUNTIF(DevMode!$C$2:$C$6,"&lt;&gt;"))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C33" i="2" l="1"/>
  <c r="CV33" i="2"/>
  <c r="CO33" i="2"/>
  <c r="CH33" i="2"/>
  <c r="DC47" i="2"/>
  <c r="DC21" i="2"/>
  <c r="CV47" i="2"/>
  <c r="CV21" i="2"/>
  <c r="CO47" i="2"/>
  <c r="CO21" i="2"/>
  <c r="CH47" i="2"/>
  <c r="CH21" i="2"/>
  <c r="BT21" i="2"/>
  <c r="BT47" i="2"/>
  <c r="CA47" i="2"/>
  <c r="CA21" i="2"/>
  <c r="CA33" i="2"/>
  <c r="BT33" i="2"/>
  <c r="BM33" i="2"/>
  <c r="BM21" i="2"/>
  <c r="BM47" i="2"/>
  <c r="BF33" i="2"/>
  <c r="BF47" i="2"/>
  <c r="BF21" i="2"/>
  <c r="AY33" i="2"/>
  <c r="AY47" i="2"/>
  <c r="AY21" i="2"/>
  <c r="AR47" i="2"/>
  <c r="AR21" i="2"/>
  <c r="AR33" i="2"/>
  <c r="AK47" i="2"/>
  <c r="AK21" i="2"/>
  <c r="AK33" i="2"/>
  <c r="DB34" i="2"/>
  <c r="DB35" i="2"/>
  <c r="CU35" i="2"/>
  <c r="CU34" i="2"/>
  <c r="CN35" i="2"/>
  <c r="CN34" i="2"/>
  <c r="BZ35" i="2"/>
  <c r="BZ34" i="2"/>
  <c r="BS35" i="2"/>
  <c r="BS34" i="2"/>
  <c r="BL35" i="2"/>
  <c r="BL34" i="2"/>
  <c r="AX35" i="2"/>
  <c r="AX34" i="2"/>
  <c r="AQ35" i="2"/>
  <c r="AQ34" i="2"/>
  <c r="AJ35" i="2"/>
  <c r="AJ34" i="2"/>
  <c r="AD33" i="2"/>
  <c r="W47" i="2"/>
  <c r="W21" i="2"/>
  <c r="W33" i="2"/>
  <c r="P33" i="2"/>
  <c r="P47" i="2"/>
  <c r="P21" i="2"/>
  <c r="V34" i="2"/>
  <c r="V35" i="2"/>
  <c r="O35" i="2"/>
  <c r="O34" i="2"/>
  <c r="H35" i="2"/>
  <c r="H34" i="2"/>
  <c r="I33" i="2"/>
  <c r="I47" i="2"/>
  <c r="I21" i="2"/>
  <c r="AA51" i="2"/>
  <c r="X51" i="2"/>
  <c r="X50" i="2"/>
  <c r="X49" i="2"/>
  <c r="W48" i="2"/>
  <c r="Y46" i="2"/>
  <c r="V45" i="2"/>
  <c r="V44" i="2"/>
  <c r="V43" i="2"/>
  <c r="AA39" i="2"/>
  <c r="X39" i="2"/>
  <c r="X38" i="2"/>
  <c r="X37" i="2"/>
  <c r="W36" i="2"/>
  <c r="Y32" i="2"/>
  <c r="V31" i="2"/>
  <c r="V30" i="2"/>
  <c r="V29" i="2"/>
  <c r="AA25" i="2"/>
  <c r="X25" i="2"/>
  <c r="X24" i="2"/>
  <c r="X23" i="2"/>
  <c r="W22" i="2"/>
  <c r="Y20" i="2"/>
  <c r="V19" i="2"/>
  <c r="V18" i="2"/>
  <c r="V17" i="2"/>
  <c r="T51" i="2"/>
  <c r="Q51" i="2"/>
  <c r="Q50" i="2"/>
  <c r="Q49" i="2"/>
  <c r="P48" i="2"/>
  <c r="R46" i="2"/>
  <c r="O45" i="2"/>
  <c r="O44" i="2"/>
  <c r="O43" i="2"/>
  <c r="T39" i="2"/>
  <c r="Q39" i="2"/>
  <c r="Q38" i="2"/>
  <c r="Q37" i="2"/>
  <c r="P36" i="2"/>
  <c r="R32" i="2"/>
  <c r="O31" i="2"/>
  <c r="O30" i="2"/>
  <c r="O29" i="2"/>
  <c r="T25" i="2"/>
  <c r="Q25" i="2"/>
  <c r="Q24" i="2"/>
  <c r="Q23" i="2"/>
  <c r="P22" i="2"/>
  <c r="R20" i="2"/>
  <c r="O19" i="2"/>
  <c r="O18" i="2"/>
  <c r="O17" i="2"/>
  <c r="M51" i="2"/>
  <c r="J51" i="2"/>
  <c r="J50" i="2"/>
  <c r="J49" i="2"/>
  <c r="I48" i="2"/>
  <c r="K46" i="2"/>
  <c r="H45" i="2"/>
  <c r="H44" i="2"/>
  <c r="H43" i="2"/>
  <c r="M39" i="2"/>
  <c r="J39" i="2"/>
  <c r="J38" i="2"/>
  <c r="J37" i="2"/>
  <c r="I36" i="2"/>
  <c r="K32" i="2"/>
  <c r="H31" i="2"/>
  <c r="H30" i="2"/>
  <c r="H29" i="2"/>
  <c r="M25" i="2"/>
  <c r="J25" i="2"/>
  <c r="J24" i="2"/>
  <c r="J23" i="2"/>
  <c r="I22" i="2"/>
  <c r="K20" i="2"/>
  <c r="H19" i="2"/>
  <c r="H18" i="2"/>
  <c r="H17" i="2"/>
  <c r="DG51" i="2"/>
  <c r="DD51" i="2"/>
  <c r="DD50" i="2"/>
  <c r="DD49" i="2"/>
  <c r="DC48" i="2"/>
  <c r="DE46" i="2"/>
  <c r="DB45" i="2"/>
  <c r="DB44" i="2"/>
  <c r="DB43" i="2"/>
  <c r="DG39" i="2"/>
  <c r="DD39" i="2"/>
  <c r="DD38" i="2"/>
  <c r="DD37" i="2"/>
  <c r="DC36" i="2"/>
  <c r="DE32" i="2"/>
  <c r="DB31" i="2"/>
  <c r="DB30" i="2"/>
  <c r="DB29" i="2"/>
  <c r="DG25" i="2"/>
  <c r="DD25" i="2"/>
  <c r="DD24" i="2"/>
  <c r="DD23" i="2"/>
  <c r="DC22" i="2"/>
  <c r="DE20" i="2"/>
  <c r="DB19" i="2"/>
  <c r="DB18" i="2"/>
  <c r="DB17" i="2"/>
  <c r="CZ51" i="2"/>
  <c r="CW51" i="2"/>
  <c r="CW50" i="2"/>
  <c r="CW49" i="2"/>
  <c r="CV48" i="2"/>
  <c r="CX46" i="2"/>
  <c r="CU45" i="2"/>
  <c r="CU44" i="2"/>
  <c r="CU43" i="2"/>
  <c r="CZ39" i="2"/>
  <c r="CW39" i="2"/>
  <c r="CW38" i="2"/>
  <c r="CW37" i="2"/>
  <c r="CV36" i="2"/>
  <c r="CX32" i="2"/>
  <c r="CU31" i="2"/>
  <c r="CU30" i="2"/>
  <c r="CU29" i="2"/>
  <c r="CZ25" i="2"/>
  <c r="CW25" i="2"/>
  <c r="CW24" i="2"/>
  <c r="CW23" i="2"/>
  <c r="CV22" i="2"/>
  <c r="CX20" i="2"/>
  <c r="CU19" i="2"/>
  <c r="CU18" i="2"/>
  <c r="CU17" i="2"/>
  <c r="CS51" i="2"/>
  <c r="CP51" i="2"/>
  <c r="CP50" i="2"/>
  <c r="CP49" i="2"/>
  <c r="CO48" i="2"/>
  <c r="CQ46" i="2"/>
  <c r="CN45" i="2"/>
  <c r="CN44" i="2"/>
  <c r="CN43" i="2"/>
  <c r="CS39" i="2"/>
  <c r="CP39" i="2"/>
  <c r="CP38" i="2"/>
  <c r="CP37" i="2"/>
  <c r="CO36" i="2"/>
  <c r="CQ32" i="2"/>
  <c r="CN31" i="2"/>
  <c r="CN30" i="2"/>
  <c r="CN29" i="2"/>
  <c r="CS25" i="2"/>
  <c r="CP25" i="2"/>
  <c r="CP24" i="2"/>
  <c r="CP23" i="2"/>
  <c r="CO22" i="2"/>
  <c r="CQ20" i="2"/>
  <c r="CN19" i="2"/>
  <c r="CN18" i="2"/>
  <c r="CN17" i="2"/>
  <c r="CG35" i="2"/>
  <c r="CG34" i="2"/>
  <c r="CL39" i="2"/>
  <c r="CI39" i="2"/>
  <c r="CI38" i="2"/>
  <c r="CI37" i="2"/>
  <c r="CH36" i="2"/>
  <c r="CJ32" i="2"/>
  <c r="CG31" i="2"/>
  <c r="CG30" i="2"/>
  <c r="CG29" i="2"/>
  <c r="CL51" i="2"/>
  <c r="CI51" i="2"/>
  <c r="CI50" i="2"/>
  <c r="CI49" i="2"/>
  <c r="CH48" i="2"/>
  <c r="CJ46" i="2"/>
  <c r="CG45" i="2"/>
  <c r="CG44" i="2"/>
  <c r="CG43" i="2"/>
  <c r="CL25" i="2"/>
  <c r="CI25" i="2"/>
  <c r="CI24" i="2"/>
  <c r="CI23" i="2"/>
  <c r="CH22" i="2"/>
  <c r="CJ20" i="2"/>
  <c r="CG19" i="2"/>
  <c r="CG18" i="2"/>
  <c r="CG17" i="2"/>
  <c r="CE51" i="2"/>
  <c r="CB51" i="2"/>
  <c r="CB50" i="2"/>
  <c r="CB49" i="2"/>
  <c r="CA48" i="2"/>
  <c r="CC46" i="2"/>
  <c r="BZ45" i="2"/>
  <c r="BZ44" i="2"/>
  <c r="BZ43" i="2"/>
  <c r="CE39" i="2"/>
  <c r="CB39" i="2"/>
  <c r="CB38" i="2"/>
  <c r="CB37" i="2"/>
  <c r="CA36" i="2"/>
  <c r="CC32" i="2"/>
  <c r="BZ31" i="2"/>
  <c r="BZ30" i="2"/>
  <c r="BZ29" i="2"/>
  <c r="CE25" i="2"/>
  <c r="CB25" i="2"/>
  <c r="CB24" i="2"/>
  <c r="CB23" i="2"/>
  <c r="CA22" i="2"/>
  <c r="CC20" i="2"/>
  <c r="BZ19" i="2"/>
  <c r="BZ18" i="2"/>
  <c r="BZ17" i="2"/>
  <c r="BX51" i="2"/>
  <c r="BU51" i="2"/>
  <c r="BU50" i="2"/>
  <c r="BU49" i="2"/>
  <c r="BT48" i="2"/>
  <c r="BV46" i="2"/>
  <c r="BS45" i="2"/>
  <c r="BS44" i="2"/>
  <c r="BS43" i="2"/>
  <c r="BX39" i="2"/>
  <c r="BU39" i="2"/>
  <c r="BU38" i="2"/>
  <c r="BU37" i="2"/>
  <c r="BT36" i="2"/>
  <c r="BV32" i="2"/>
  <c r="BS31" i="2"/>
  <c r="BS30" i="2"/>
  <c r="BS29" i="2"/>
  <c r="BX25" i="2"/>
  <c r="BU25" i="2"/>
  <c r="BU24" i="2"/>
  <c r="BU23" i="2"/>
  <c r="BT22" i="2"/>
  <c r="BV20" i="2"/>
  <c r="BS19" i="2"/>
  <c r="BS18" i="2"/>
  <c r="BS17" i="2"/>
  <c r="BQ51" i="2"/>
  <c r="BN51" i="2"/>
  <c r="BN50" i="2"/>
  <c r="BN49" i="2"/>
  <c r="BM48" i="2"/>
  <c r="BO46" i="2"/>
  <c r="BL45" i="2"/>
  <c r="BL44" i="2"/>
  <c r="BL43" i="2"/>
  <c r="BQ39" i="2"/>
  <c r="BN39" i="2"/>
  <c r="BN38" i="2"/>
  <c r="BN37" i="2"/>
  <c r="BM36" i="2"/>
  <c r="BO32" i="2"/>
  <c r="BL31" i="2"/>
  <c r="BL30" i="2"/>
  <c r="BL29" i="2"/>
  <c r="BQ25" i="2"/>
  <c r="BN25" i="2"/>
  <c r="BN24" i="2"/>
  <c r="BN23" i="2"/>
  <c r="BM22" i="2"/>
  <c r="BO20" i="2"/>
  <c r="BL19" i="2"/>
  <c r="BL18" i="2"/>
  <c r="BL17" i="2"/>
  <c r="BE35" i="2"/>
  <c r="BE34" i="2"/>
  <c r="BJ39" i="2"/>
  <c r="BG39" i="2"/>
  <c r="BG38" i="2"/>
  <c r="BG37" i="2"/>
  <c r="BF36" i="2"/>
  <c r="BH32" i="2"/>
  <c r="BE31" i="2"/>
  <c r="BE30" i="2"/>
  <c r="BE29" i="2"/>
  <c r="BJ51" i="2"/>
  <c r="BG51" i="2"/>
  <c r="BG50" i="2"/>
  <c r="BG49" i="2"/>
  <c r="BF48" i="2"/>
  <c r="BH46" i="2"/>
  <c r="BE45" i="2"/>
  <c r="BE44" i="2"/>
  <c r="BE43" i="2"/>
  <c r="BG25" i="2"/>
  <c r="AZ25" i="2"/>
  <c r="BJ25" i="2"/>
  <c r="BG24" i="2"/>
  <c r="BG23" i="2"/>
  <c r="BF22" i="2"/>
  <c r="BH20" i="2"/>
  <c r="BE19" i="2"/>
  <c r="BC51" i="2"/>
  <c r="AZ51" i="2"/>
  <c r="AZ50" i="2"/>
  <c r="AZ49" i="2"/>
  <c r="AY48" i="2"/>
  <c r="BA46" i="2"/>
  <c r="AX45" i="2"/>
  <c r="AX44" i="2"/>
  <c r="AX43" i="2"/>
  <c r="BC39" i="2"/>
  <c r="AZ39" i="2"/>
  <c r="AZ38" i="2"/>
  <c r="AZ37" i="2"/>
  <c r="AY36" i="2"/>
  <c r="BA32" i="2"/>
  <c r="AX31" i="2"/>
  <c r="AX30" i="2"/>
  <c r="AX29" i="2"/>
  <c r="BC25" i="2"/>
  <c r="AZ24" i="2"/>
  <c r="AZ23" i="2"/>
  <c r="AY22" i="2"/>
  <c r="BA20" i="2"/>
  <c r="AX19" i="2"/>
  <c r="AX18" i="2"/>
  <c r="AX17" i="2"/>
  <c r="AV51" i="2"/>
  <c r="AS51" i="2"/>
  <c r="AS50" i="2"/>
  <c r="AS49" i="2"/>
  <c r="AR48" i="2"/>
  <c r="AT46" i="2"/>
  <c r="AQ45" i="2"/>
  <c r="AQ44" i="2"/>
  <c r="AQ43" i="2"/>
  <c r="AV39" i="2"/>
  <c r="AS39" i="2"/>
  <c r="AS38" i="2"/>
  <c r="AS37" i="2"/>
  <c r="AR36" i="2"/>
  <c r="AT32" i="2"/>
  <c r="AQ31" i="2"/>
  <c r="AQ30" i="2"/>
  <c r="AQ29" i="2"/>
  <c r="AV25" i="2"/>
  <c r="AS25" i="2"/>
  <c r="AS24" i="2"/>
  <c r="AS23" i="2"/>
  <c r="AR22" i="2"/>
  <c r="AT20" i="2"/>
  <c r="AQ19" i="2"/>
  <c r="AQ18" i="2"/>
  <c r="AQ17" i="2"/>
  <c r="AO51" i="2"/>
  <c r="AL51" i="2"/>
  <c r="AL50" i="2"/>
  <c r="AL49" i="2"/>
  <c r="AK48" i="2"/>
  <c r="AM46" i="2"/>
  <c r="AJ45" i="2"/>
  <c r="AJ44" i="2"/>
  <c r="AJ43" i="2"/>
  <c r="AO39" i="2"/>
  <c r="AL39" i="2"/>
  <c r="AL38" i="2"/>
  <c r="AL37" i="2"/>
  <c r="AK36" i="2"/>
  <c r="AM32" i="2"/>
  <c r="AJ31" i="2"/>
  <c r="AJ30" i="2"/>
  <c r="AJ29" i="2"/>
  <c r="AO25" i="2"/>
  <c r="AL25" i="2"/>
  <c r="AL24" i="2"/>
  <c r="AL23" i="2"/>
  <c r="AK22" i="2"/>
  <c r="AM20" i="2"/>
  <c r="AJ19" i="2"/>
  <c r="AJ18" i="2"/>
  <c r="AJ17" i="2"/>
  <c r="AC43" i="2"/>
  <c r="AC29" i="2"/>
  <c r="AC17" i="2"/>
  <c r="BE18" i="2"/>
  <c r="BE17" i="2"/>
  <c r="AC35" i="2"/>
  <c r="AC34" i="2"/>
  <c r="AH39" i="2"/>
  <c r="AE39" i="2"/>
  <c r="AE38" i="2"/>
  <c r="AE37" i="2"/>
  <c r="AD36" i="2"/>
  <c r="AF32" i="2"/>
  <c r="AC31" i="2"/>
  <c r="AC30" i="2"/>
  <c r="AH51" i="2"/>
  <c r="AE51" i="2"/>
  <c r="AE50" i="2"/>
  <c r="AE49" i="2"/>
  <c r="AD48" i="2"/>
  <c r="AD47" i="2"/>
  <c r="AF46" i="2"/>
  <c r="AC45" i="2"/>
  <c r="AC44" i="2"/>
  <c r="AH25" i="2"/>
  <c r="AE25" i="2"/>
  <c r="AE24" i="2"/>
  <c r="AE23" i="2"/>
  <c r="AD22" i="2"/>
  <c r="AD21" i="2"/>
  <c r="AF20" i="2"/>
  <c r="AC19" i="2"/>
  <c r="AC18" i="2"/>
  <c r="C50" i="2"/>
  <c r="C38" i="2"/>
  <c r="C24" i="2"/>
  <c r="D46" i="2"/>
  <c r="D32" i="2"/>
  <c r="A31" i="2"/>
  <c r="A30" i="2"/>
  <c r="B33" i="2"/>
  <c r="F51" i="2"/>
  <c r="C51" i="2"/>
  <c r="F39" i="2"/>
  <c r="C39" i="2"/>
  <c r="D20" i="2"/>
  <c r="F25" i="2"/>
  <c r="A35" i="2"/>
  <c r="A43" i="2"/>
  <c r="A29" i="2"/>
  <c r="A17" i="2"/>
  <c r="C25" i="2"/>
  <c r="C23" i="2" l="1"/>
  <c r="A1" i="1"/>
  <c r="BE14" i="2"/>
  <c r="BE11" i="2"/>
  <c r="BE8" i="2"/>
  <c r="BE5" i="2"/>
  <c r="BE4" i="2"/>
  <c r="BE1" i="2"/>
  <c r="AC14" i="2"/>
  <c r="AC11" i="2"/>
  <c r="AC8" i="2"/>
  <c r="AC5" i="2"/>
  <c r="AC4" i="2"/>
  <c r="AC1" i="2"/>
  <c r="C49" i="2"/>
  <c r="B48" i="2"/>
  <c r="B47" i="2"/>
  <c r="A45" i="2"/>
  <c r="A44" i="2"/>
  <c r="C37" i="2"/>
  <c r="B36" i="2"/>
  <c r="A34" i="2"/>
  <c r="B22" i="2"/>
  <c r="B21" i="2"/>
  <c r="A19" i="2"/>
  <c r="A18" i="2"/>
  <c r="A14" i="2"/>
  <c r="A11" i="2"/>
  <c r="A8" i="2"/>
  <c r="A5" i="2"/>
  <c r="A4" i="2"/>
  <c r="A1" i="2"/>
  <c r="CG5" i="2"/>
  <c r="CG14" i="2"/>
  <c r="CG11" i="2"/>
  <c r="CG8" i="2"/>
  <c r="CG4" i="2"/>
  <c r="CG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Jeffreys, Duncan A (US)</author>
  </authors>
  <commentList>
    <comment ref="A1" authorId="0" shapeId="0" xr:uid="{06886A03-46BE-450C-BEC6-670A0EC2230C}">
      <text>
        <r>
          <rPr>
            <b/>
            <u/>
            <sz val="9"/>
            <color indexed="81"/>
            <rFont val="Tahoma"/>
            <family val="2"/>
          </rPr>
          <t>Website:</t>
        </r>
        <r>
          <rPr>
            <sz val="9"/>
            <color indexed="81"/>
            <rFont val="Tahoma"/>
            <family val="2"/>
          </rPr>
          <t xml:space="preserve">
https://www.github.com/JeffreysDA
</t>
        </r>
        <r>
          <rPr>
            <b/>
            <u/>
            <sz val="9"/>
            <color indexed="81"/>
            <rFont val="Tahoma"/>
            <family val="2"/>
          </rPr>
          <t>Contact:</t>
        </r>
        <r>
          <rPr>
            <sz val="9"/>
            <color indexed="81"/>
            <rFont val="Tahoma"/>
            <family val="2"/>
          </rPr>
          <t xml:space="preserve">
jeffreysda@proton.me</t>
        </r>
      </text>
    </comment>
    <comment ref="A2" authorId="0" shapeId="0" xr:uid="{2B029F6F-92B4-4362-B8C2-92FB3BB6C447}">
      <text>
        <r>
          <rPr>
            <sz val="9"/>
            <color indexed="81"/>
            <rFont val="Tahoma"/>
            <family val="2"/>
          </rPr>
          <t>Name, serial number, service tag, or other identifying designation of the hardware being labeled.</t>
        </r>
      </text>
    </comment>
    <comment ref="A10" authorId="0" shapeId="0" xr:uid="{377D77A2-8A7C-4FA7-98ED-B963AF1566CB}">
      <text>
        <r>
          <rPr>
            <b/>
            <sz val="9"/>
            <color indexed="81"/>
            <rFont val="Tahoma"/>
            <family val="2"/>
          </rPr>
          <t xml:space="preserve">(Optional)
</t>
        </r>
        <r>
          <rPr>
            <sz val="9"/>
            <color indexed="81"/>
            <rFont val="Tahoma"/>
            <family val="2"/>
          </rPr>
          <t>Used to override the current date and apply past or future dates to the labels.</t>
        </r>
      </text>
    </comment>
    <comment ref="A11" authorId="0" shapeId="0" xr:uid="{F7F9F35D-BCAA-4BDB-B539-16C20CA090DA}">
      <text>
        <r>
          <rPr>
            <sz val="9"/>
            <color indexed="81"/>
            <rFont val="Tahoma"/>
            <family val="2"/>
          </rPr>
          <t xml:space="preserve">If more than one SCG is used, just type "Multiple".
</t>
        </r>
      </text>
    </comment>
    <comment ref="A13" authorId="0" shapeId="0" xr:uid="{A53AC505-1772-4A76-AB1C-A662BF3B46C2}">
      <text>
        <r>
          <rPr>
            <sz val="9"/>
            <color indexed="81"/>
            <rFont val="Tahoma"/>
            <family val="2"/>
          </rPr>
          <t>The number of years that must pass before the labeled item can be declassified.</t>
        </r>
      </text>
    </comment>
    <comment ref="A15" authorId="0" shapeId="0" xr:uid="{86E580A1-BF89-44B5-8FAB-E00DFE37102E}">
      <text>
        <r>
          <rPr>
            <b/>
            <sz val="9"/>
            <color indexed="81"/>
            <rFont val="Tahoma"/>
            <family val="2"/>
          </rPr>
          <t>Manual Input Accepted:</t>
        </r>
        <r>
          <rPr>
            <sz val="9"/>
            <color indexed="81"/>
            <rFont val="Tahoma"/>
            <family val="2"/>
          </rPr>
          <t xml:space="preserve">
Multiple and/or additional Classification Caveats can be added manually to best fit your needs.</t>
        </r>
      </text>
    </comment>
    <comment ref="A16" authorId="0" shapeId="0" xr:uid="{8D575AA3-8136-4D95-A297-02F4105284D0}">
      <text>
        <r>
          <rPr>
            <b/>
            <u/>
            <sz val="9"/>
            <color indexed="81"/>
            <rFont val="Tahoma"/>
            <family val="2"/>
          </rPr>
          <t>Reasons for Classification:</t>
        </r>
        <r>
          <rPr>
            <sz val="9"/>
            <color indexed="81"/>
            <rFont val="Tahoma"/>
            <family val="2"/>
          </rPr>
          <t xml:space="preserve">
</t>
        </r>
        <r>
          <rPr>
            <b/>
            <i/>
            <sz val="9"/>
            <color indexed="81"/>
            <rFont val="Tahoma"/>
            <family val="2"/>
          </rPr>
          <t>(a)</t>
        </r>
        <r>
          <rPr>
            <sz val="9"/>
            <color indexed="81"/>
            <rFont val="Tahoma"/>
            <family val="2"/>
          </rPr>
          <t xml:space="preserve"> Military plans, weapons systems, or operations;
</t>
        </r>
        <r>
          <rPr>
            <b/>
            <i/>
            <sz val="9"/>
            <color indexed="81"/>
            <rFont val="Tahoma"/>
            <family val="2"/>
          </rPr>
          <t>(b)</t>
        </r>
        <r>
          <rPr>
            <sz val="9"/>
            <color indexed="81"/>
            <rFont val="Tahoma"/>
            <family val="2"/>
          </rPr>
          <t xml:space="preserve"> Foreign government information;
</t>
        </r>
        <r>
          <rPr>
            <b/>
            <i/>
            <sz val="9"/>
            <color indexed="81"/>
            <rFont val="Tahoma"/>
            <family val="2"/>
          </rPr>
          <t>(c)</t>
        </r>
        <r>
          <rPr>
            <sz val="9"/>
            <color indexed="81"/>
            <rFont val="Tahoma"/>
            <family val="2"/>
          </rPr>
          <t xml:space="preserve"> Intelligence activities (including covert action), intelligence sources or
methods, or cryptology;
</t>
        </r>
        <r>
          <rPr>
            <b/>
            <i/>
            <sz val="9"/>
            <color indexed="81"/>
            <rFont val="Tahoma"/>
            <family val="2"/>
          </rPr>
          <t>(d)</t>
        </r>
        <r>
          <rPr>
            <sz val="9"/>
            <color indexed="81"/>
            <rFont val="Tahoma"/>
            <family val="2"/>
          </rPr>
          <t xml:space="preserve"> Foreign relations or foreign activities of the United States, including
confidential sources;
</t>
        </r>
        <r>
          <rPr>
            <b/>
            <i/>
            <sz val="9"/>
            <color indexed="81"/>
            <rFont val="Tahoma"/>
            <family val="2"/>
          </rPr>
          <t>(e)</t>
        </r>
        <r>
          <rPr>
            <sz val="9"/>
            <color indexed="81"/>
            <rFont val="Tahoma"/>
            <family val="2"/>
          </rPr>
          <t xml:space="preserve"> Scientific, technological, or economic matters relating to the national
security;
</t>
        </r>
        <r>
          <rPr>
            <b/>
            <i/>
            <sz val="9"/>
            <color indexed="81"/>
            <rFont val="Tahoma"/>
            <family val="2"/>
          </rPr>
          <t>(f)</t>
        </r>
        <r>
          <rPr>
            <sz val="9"/>
            <color indexed="81"/>
            <rFont val="Tahoma"/>
            <family val="2"/>
          </rPr>
          <t xml:space="preserve"> United States Government programs for safeguarding nuclear materials or facilities;
</t>
        </r>
        <r>
          <rPr>
            <b/>
            <i/>
            <sz val="9"/>
            <color indexed="81"/>
            <rFont val="Tahoma"/>
            <family val="2"/>
          </rPr>
          <t>(g)</t>
        </r>
        <r>
          <rPr>
            <sz val="9"/>
            <color indexed="81"/>
            <rFont val="Tahoma"/>
            <family val="2"/>
          </rPr>
          <t xml:space="preserve"> Vulnerabilities or capabilities of systems, installations, infrastructures,
projects, plans, or protection services relating to the national security; or
</t>
        </r>
        <r>
          <rPr>
            <b/>
            <i/>
            <sz val="9"/>
            <color indexed="81"/>
            <rFont val="Tahoma"/>
            <family val="2"/>
          </rPr>
          <t>(h)</t>
        </r>
        <r>
          <rPr>
            <sz val="9"/>
            <color indexed="81"/>
            <rFont val="Tahoma"/>
            <family val="2"/>
          </rPr>
          <t xml:space="preserve"> The development, production, or use of weapons of mass destruction.
</t>
        </r>
        <r>
          <rPr>
            <b/>
            <u/>
            <sz val="9"/>
            <color indexed="81"/>
            <rFont val="Tahoma"/>
            <family val="2"/>
          </rPr>
          <t>SOURCE:</t>
        </r>
        <r>
          <rPr>
            <sz val="9"/>
            <color indexed="81"/>
            <rFont val="Tahoma"/>
            <family val="2"/>
          </rPr>
          <t xml:space="preserve">
Executive Order 13526, Section 1.4 (</t>
        </r>
        <r>
          <rPr>
            <i/>
            <sz val="9"/>
            <color indexed="81"/>
            <rFont val="Tahoma"/>
            <family val="2"/>
          </rPr>
          <t>Link in Developer Mode Notes</t>
        </r>
        <r>
          <rPr>
            <sz val="9"/>
            <color indexed="81"/>
            <rFont val="Tahoma"/>
            <family val="2"/>
          </rPr>
          <t>)</t>
        </r>
      </text>
    </comment>
  </commentList>
</comments>
</file>

<file path=xl/sharedStrings.xml><?xml version="1.0" encoding="utf-8"?>
<sst xmlns="http://schemas.openxmlformats.org/spreadsheetml/2006/main" count="587" uniqueCount="157">
  <si>
    <t>Password</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</si>
  <si>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</si>
  <si>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</si>
  <si>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</si>
  <si>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</si>
  <si>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</si>
  <si>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</si>
  <si>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</si>
  <si>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</si>
  <si>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</si>
  <si>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IMPORTANT!</t>
  </si>
  <si>
    <t>NOTES:</t>
  </si>
  <si>
    <t>Version</t>
  </si>
  <si>
    <t>jeffreysda@proton.me</t>
  </si>
  <si>
    <t>Title:</t>
  </si>
  <si>
    <t>Date:</t>
  </si>
  <si>
    <r>
      <t>o</t>
    </r>
    <r>
      <rPr>
        <b/>
        <sz val="10"/>
        <rFont val="Arial"/>
        <family val="2"/>
      </rPr>
      <t xml:space="preserve">OS   </t>
    </r>
    <r>
      <rPr>
        <b/>
        <sz val="10"/>
        <rFont val="Wingdings"/>
        <charset val="2"/>
      </rPr>
      <t>o</t>
    </r>
    <r>
      <rPr>
        <b/>
        <sz val="10"/>
        <rFont val="Arial"/>
        <family val="2"/>
      </rPr>
      <t>DATA</t>
    </r>
  </si>
  <si>
    <t>Classified By:</t>
  </si>
  <si>
    <t>Derived From:</t>
  </si>
  <si>
    <t>Declass On:</t>
  </si>
  <si>
    <t>DO NOT REMOVE THIS LABEL</t>
  </si>
  <si>
    <t>Address Line 1</t>
  </si>
  <si>
    <t>Address Line 2</t>
  </si>
  <si>
    <t>City</t>
  </si>
  <si>
    <t>State Abbreviation</t>
  </si>
  <si>
    <t>FL</t>
  </si>
  <si>
    <t>Zip Code</t>
  </si>
  <si>
    <t>Classification Age (Years)</t>
  </si>
  <si>
    <t>Classification</t>
  </si>
  <si>
    <t>//NOFORN</t>
  </si>
  <si>
    <t>Employee ID Number</t>
  </si>
  <si>
    <t>Storage Type</t>
  </si>
  <si>
    <t>NVMe</t>
  </si>
  <si>
    <t>Storage Scale</t>
  </si>
  <si>
    <t>TB</t>
  </si>
  <si>
    <t>Storage Size</t>
  </si>
  <si>
    <t>Storage Serial Number</t>
  </si>
  <si>
    <t>AL</t>
  </si>
  <si>
    <t>AK</t>
  </si>
  <si>
    <t>AZ</t>
  </si>
  <si>
    <t>AR</t>
  </si>
  <si>
    <t>CA</t>
  </si>
  <si>
    <t>CO</t>
  </si>
  <si>
    <t>CT</t>
  </si>
  <si>
    <t>DE</t>
  </si>
  <si>
    <t>DC</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</si>
  <si>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</si>
  <si>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</si>
  <si>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</si>
  <si>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</si>
  <si>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</si>
  <si>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</si>
  <si>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</si>
  <si>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</si>
  <si>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</si>
  <si>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</si>
  <si>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</si>
  <si>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</si>
  <si>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</si>
  <si>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</si>
  <si>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</si>
  <si>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</si>
  <si>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</si>
  <si>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</si>
  <si>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</si>
  <si>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</si>
  <si>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</si>
  <si>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</si>
  <si>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</si>
  <si>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</si>
  <si>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</si>
  <si>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</si>
  <si>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</si>
  <si>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</si>
  <si>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</si>
  <si>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PR</t>
  </si>
  <si>
    <t>RI</t>
  </si>
  <si>
    <t>SC</t>
  </si>
  <si>
    <t>SD</t>
  </si>
  <si>
    <t>TN</t>
  </si>
  <si>
    <t>TX</t>
  </si>
  <si>
    <t>UT</t>
  </si>
  <si>
    <t>VT</t>
  </si>
  <si>
    <t>VA</t>
  </si>
  <si>
    <t>WA</t>
  </si>
  <si>
    <t>WV</t>
  </si>
  <si>
    <t>WI</t>
  </si>
  <si>
    <t>WY</t>
  </si>
  <si>
    <t>State Abreviations</t>
  </si>
  <si>
    <t>Classifications</t>
  </si>
  <si>
    <t>CUI</t>
  </si>
  <si>
    <t>Employee Name</t>
  </si>
  <si>
    <t>(U)</t>
  </si>
  <si>
    <t>//FGI</t>
  </si>
  <si>
    <t>Unclassified</t>
  </si>
  <si>
    <t>Confidential</t>
  </si>
  <si>
    <t>Secret</t>
  </si>
  <si>
    <t>Top Secret</t>
  </si>
  <si>
    <t>HDD</t>
  </si>
  <si>
    <t>SSD</t>
  </si>
  <si>
    <t>B</t>
  </si>
  <si>
    <t>KB</t>
  </si>
  <si>
    <t>MB</t>
  </si>
  <si>
    <t>GB</t>
  </si>
  <si>
    <t>PB</t>
  </si>
  <si>
    <t>EB</t>
  </si>
  <si>
    <t>Portion Mark</t>
  </si>
  <si>
    <t>(C)</t>
  </si>
  <si>
    <t>(S)</t>
  </si>
  <si>
    <t>(TS)</t>
  </si>
  <si>
    <t>Classification Reason</t>
  </si>
  <si>
    <t>1.4(a)</t>
  </si>
  <si>
    <t>1.4(b)</t>
  </si>
  <si>
    <t>1.4(c)</t>
  </si>
  <si>
    <t>1.4(d)</t>
  </si>
  <si>
    <t>1.4(e)</t>
  </si>
  <si>
    <t>1.4(f)</t>
  </si>
  <si>
    <t>1.4(g)</t>
  </si>
  <si>
    <t>1.4(h)</t>
  </si>
  <si>
    <t>Label Set 1</t>
  </si>
  <si>
    <t>Label Set 2</t>
  </si>
  <si>
    <t>Label Set 3</t>
  </si>
  <si>
    <t>Label Set 4</t>
  </si>
  <si>
    <r>
      <t xml:space="preserve">DO NOT SAVE THIS DOCUMENT WHILE IN DEVELOPER MODE! DOING SO MAY HAVE UNWANTED EFFECTS. EXIT DEVELOPER MODE FIRST, THEN SAVE THE DOCUMENT.
</t>
    </r>
    <r>
      <rPr>
        <b/>
        <sz val="11"/>
        <color rgb="FF0000FF"/>
        <rFont val="Calibri"/>
        <family val="2"/>
        <scheme val="minor"/>
      </rPr>
      <t>Email "jeffreysda@proton.me" for any questions, issues, or suggestions.</t>
    </r>
  </si>
  <si>
    <t>Date Override</t>
  </si>
  <si>
    <t>Hardware Designation #</t>
  </si>
  <si>
    <t>//NATO</t>
  </si>
  <si>
    <t>//CNWDI</t>
  </si>
  <si>
    <t>//FRD</t>
  </si>
  <si>
    <t>//SAP</t>
  </si>
  <si>
    <t>//LIMDIS</t>
  </si>
  <si>
    <t>//RD</t>
  </si>
  <si>
    <t>//WNINTEL</t>
  </si>
  <si>
    <t>Classification Caveats</t>
  </si>
  <si>
    <t>Lockheed Martin Missiles and Fire Control</t>
  </si>
  <si>
    <t>5600 Sand Lake Road</t>
  </si>
  <si>
    <t>Orlando</t>
  </si>
  <si>
    <t>32819-8907</t>
  </si>
  <si>
    <t>Storage Type (2nd)</t>
  </si>
  <si>
    <t>Storage Scale (2nd)</t>
  </si>
  <si>
    <t>Storage Size (2nd)</t>
  </si>
  <si>
    <t>Storage Serial Number (2nd)</t>
  </si>
  <si>
    <t>Storage Type (3rd)</t>
  </si>
  <si>
    <t>Storage Scale (3rd)</t>
  </si>
  <si>
    <t>Storage Size (3rd)</t>
  </si>
  <si>
    <t>Storage Serial Number (3rd)</t>
  </si>
  <si>
    <t>Storage Type (4th)</t>
  </si>
  <si>
    <t>Storage Scale (4th)</t>
  </si>
  <si>
    <t>Storage Size (4th)</t>
  </si>
  <si>
    <t>Storage Serial Number (4th)</t>
  </si>
  <si>
    <t>1.4</t>
  </si>
  <si>
    <t>SCG Used</t>
  </si>
  <si>
    <t>SCG Date of Release</t>
  </si>
  <si>
    <t>Program Ownership:</t>
  </si>
  <si>
    <t>Reason:</t>
  </si>
  <si>
    <t>Program Ownership</t>
  </si>
  <si>
    <t>Hello and welcome to Developer Mode!
This is where you can safely make changes to this document to further customize it to your needs.
The gray areas help to identify where the changes will be seen, and what will be changed. The blue areas are where you make your changes, such as editing drop down lists, changing headers, changing the document password, etc. You can even edit this NOTES area to keep your own notes, memos, tips, or really whatever you want.
Some of the options edit information that is used to create other documents, so do be careful when making changes.
If there are any changes that you want to make that cannot be done using Developer Mode, please send an email to jeffreysda@gmail.com. Be sure to inlcude the name of this document in the Subject,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https://www.govinfo.gov/content/pkg/CFR-2010-title3-vol1/pdf/CFR-2010-title3-vol1-eo13526.pdf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</si>
</sst>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00000;[&gt;99999]00000\-0000"/>
  </numFmts>
  <fonts count="33"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28"/>
      <name val="Helvetica"/>
    </font>
    <font>
      <sz val="11"/>
      <color theme="1"/>
      <name val="Helvetica"/>
    </font>
    <font>
      <b/>
      <sz val="14"/>
      <name val="Helvetica"/>
    </font>
    <font>
      <sz val="14"/>
      <name val="Helvetica"/>
    </font>
    <font>
      <sz val="22"/>
      <name val="Free 3 of 9 Extended"/>
    </font>
    <font>
      <sz val="22"/>
      <name val="Helvetica"/>
    </font>
    <font>
      <b/>
      <sz val="22"/>
      <name val="Helvetica"/>
    </font>
    <font>
      <b/>
      <sz val="12"/>
      <name val="Helvetica"/>
    </font>
    <font>
      <b/>
      <sz val="8"/>
      <name val="Helvetica"/>
    </font>
    <font>
      <b/>
      <sz val="10"/>
      <name val="Wingdings"/>
      <charset val="2"/>
    </font>
    <font>
      <b/>
      <sz val="10"/>
      <name val="Arial"/>
      <family val="2"/>
    </font>
    <font>
      <b/>
      <sz val="9"/>
      <name val="Helvetica"/>
    </font>
    <font>
      <sz val="28"/>
      <name val="Free 3 of 9 Extended"/>
    </font>
    <font>
      <sz val="9"/>
      <color indexed="81"/>
      <name val="Tahoma"/>
      <family val="2"/>
    </font>
    <font>
      <b/>
      <sz val="9"/>
      <color indexed="81"/>
      <name val="Tahoma"/>
      <family val="2"/>
    </font>
    <font>
      <b/>
      <u/>
      <sz val="9"/>
      <color indexed="81"/>
      <name val="Tahoma"/>
      <family val="2"/>
    </font>
    <font>
      <b/>
      <i/>
      <sz val="9"/>
      <color indexed="81"/>
      <name val="Tahoma"/>
      <family val="2"/>
    </font>
    <font>
      <i/>
      <sz val="9"/>
      <color indexed="81"/>
      <name val="Tahoma"/>
      <family val="2"/>
    </font>
    <font>
      <sz val="7"/>
      <name val="Helvetica"/>
    </font>
    <font>
      <b/>
      <sz val="7"/>
      <name val="Helvetica"/>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1"/>
        <bgColor indexed="64"/>
      </patternFill>
    </fill>
    <fill>
      <patternFill patternType="gray125">
        <fgColor indexed="22"/>
        <bgColor theme="0" tint="-4.9989318521683403E-2"/>
      </patternFill>
    </fill>
    <fill>
      <patternFill patternType="solid">
        <fgColor theme="4"/>
        <bgColor indexed="64"/>
      </patternFill>
    </fill>
    <fill>
      <patternFill patternType="solid">
        <fgColor theme="8" tint="0.59999389629810485"/>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dotted">
        <color indexed="8"/>
      </bottom>
      <diagonal/>
    </border>
    <border>
      <left/>
      <right/>
      <top style="dotted">
        <color indexed="8"/>
      </top>
      <bottom style="medium">
        <color indexed="64"/>
      </bottom>
      <diagonal/>
    </border>
    <border>
      <left/>
      <right/>
      <top style="dotted">
        <color indexed="8"/>
      </top>
      <bottom/>
      <diagonal/>
    </border>
    <border>
      <left/>
      <right/>
      <top/>
      <bottom style="dotted">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bottom style="dotted">
        <color indexed="8"/>
      </bottom>
      <diagonal/>
    </border>
    <border>
      <left style="medium">
        <color indexed="64"/>
      </left>
      <right/>
      <top/>
      <bottom style="thin">
        <color indexed="64"/>
      </bottom>
      <diagonal/>
    </border>
  </borders>
  <cellStyleXfs count="3">
    <xf numFmtId="0" fontId="0" fillId="0" borderId="0"/>
    <xf numFmtId="0" fontId="1" fillId="5" borderId="19" applyNumberFormat="0" applyFont="0" applyAlignment="0" applyProtection="0"/>
    <xf numFmtId="0" fontId="8" fillId="0" borderId="0" applyNumberFormat="0" applyFill="0" applyBorder="0" applyAlignment="0" applyProtection="0"/>
  </cellStyleXfs>
  <cellXfs count="175">
    <xf numFmtId="0" fontId="0" fillId="0" borderId="0" xfId="0"/>
    <xf numFmtId="0" fontId="0" fillId="6" borderId="0" xfId="0" applyFill="1" applyBorder="1"/>
    <xf numFmtId="0" fontId="2" fillId="6" borderId="23" xfId="0" applyFont="1" applyFill="1" applyBorder="1" applyAlignment="1">
      <alignment horizontal="center" vertical="center"/>
    </xf>
    <xf numFmtId="0" fontId="0" fillId="6" borderId="24" xfId="0" applyFill="1" applyBorder="1"/>
    <xf numFmtId="0" fontId="0" fillId="6" borderId="25" xfId="0" applyFill="1" applyBorder="1"/>
    <xf numFmtId="0" fontId="0" fillId="6" borderId="28" xfId="0" applyFill="1" applyBorder="1"/>
    <xf numFmtId="0" fontId="0" fillId="6" borderId="29" xfId="0" applyFill="1" applyBorder="1"/>
    <xf numFmtId="0" fontId="2" fillId="6" borderId="24" xfId="0" applyFont="1" applyFill="1" applyBorder="1" applyAlignment="1">
      <alignment horizontal="center" vertical="center"/>
    </xf>
    <xf numFmtId="0" fontId="0" fillId="6" borderId="30" xfId="0" applyFill="1" applyBorder="1"/>
    <xf numFmtId="0" fontId="0" fillId="6" borderId="31" xfId="0" applyFill="1" applyBorder="1"/>
    <xf numFmtId="0" fontId="0" fillId="6" borderId="32" xfId="0" applyFill="1" applyBorder="1"/>
    <xf numFmtId="0" fontId="0" fillId="6" borderId="0" xfId="0" applyFill="1"/>
    <xf numFmtId="0" fontId="2" fillId="7" borderId="2" xfId="0" applyFont="1" applyFill="1" applyBorder="1" applyAlignment="1">
      <alignment vertical="center"/>
    </xf>
    <xf numFmtId="0" fontId="0" fillId="10" borderId="0" xfId="0" applyFill="1" applyProtection="1"/>
    <xf numFmtId="49" fontId="0" fillId="4" borderId="45" xfId="0" applyNumberFormat="1" applyFill="1" applyBorder="1" applyAlignment="1" applyProtection="1">
      <protection locked="0"/>
    </xf>
    <xf numFmtId="49" fontId="0" fillId="4" borderId="46" xfId="0" applyNumberFormat="1" applyFill="1" applyBorder="1" applyAlignment="1" applyProtection="1">
      <protection locked="0"/>
    </xf>
    <xf numFmtId="0" fontId="12" fillId="13" borderId="2" xfId="0" applyFont="1" applyFill="1" applyBorder="1" applyAlignment="1" applyProtection="1">
      <alignment horizontal="center" vertical="center"/>
    </xf>
    <xf numFmtId="49" fontId="0" fillId="4" borderId="53" xfId="0" applyNumberFormat="1" applyFill="1" applyBorder="1" applyProtection="1">
      <protection locked="0"/>
    </xf>
    <xf numFmtId="0" fontId="2" fillId="9" borderId="17" xfId="0" applyFont="1" applyFill="1" applyBorder="1" applyAlignment="1" applyProtection="1">
      <alignment horizontal="center" vertical="center"/>
    </xf>
    <xf numFmtId="0" fontId="2" fillId="16" borderId="17" xfId="0" applyFont="1" applyFill="1" applyBorder="1" applyAlignment="1">
      <alignment horizontal="center" vertical="center"/>
    </xf>
    <xf numFmtId="0" fontId="2" fillId="16" borderId="9" xfId="0" applyFont="1" applyFill="1" applyBorder="1" applyAlignment="1">
      <alignment horizontal="left" vertical="center"/>
    </xf>
    <xf numFmtId="0" fontId="2" fillId="16" borderId="8" xfId="0" applyFont="1" applyFill="1" applyBorder="1" applyAlignment="1">
      <alignment horizontal="left" vertical="center"/>
    </xf>
    <xf numFmtId="0" fontId="14" fillId="0" borderId="0" xfId="0" applyFont="1" applyProtection="1"/>
    <xf numFmtId="0" fontId="21" fillId="0" borderId="0" xfId="0" applyFont="1" applyProtection="1"/>
    <xf numFmtId="49" fontId="0" fillId="4" borderId="15" xfId="0" applyNumberFormat="1" applyFill="1" applyBorder="1" applyAlignment="1" applyProtection="1">
      <protection locked="0"/>
    </xf>
    <xf numFmtId="49" fontId="0" fillId="4" borderId="62" xfId="0" applyNumberFormat="1" applyFill="1" applyBorder="1" applyAlignment="1" applyProtection="1">
      <protection locked="0"/>
    </xf>
    <xf numFmtId="0" fontId="2" fillId="9" borderId="38" xfId="0" applyFont="1" applyFill="1" applyBorder="1" applyAlignment="1" applyProtection="1">
      <alignment horizontal="center" vertical="center"/>
    </xf>
    <xf numFmtId="0" fontId="5" fillId="14" borderId="23" xfId="0" applyFont="1" applyFill="1" applyBorder="1" applyAlignment="1">
      <alignment horizontal="center" vertical="center"/>
    </xf>
    <xf numFmtId="0" fontId="0" fillId="17" borderId="0" xfId="0" applyFill="1"/>
    <xf numFmtId="0" fontId="0" fillId="3" borderId="3" xfId="0" applyFill="1" applyBorder="1" applyAlignment="1" applyProtection="1">
      <alignment horizontal="left" vertical="center"/>
      <protection locked="0"/>
    </xf>
    <xf numFmtId="0" fontId="0" fillId="3" borderId="4"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5" xfId="0" applyFill="1" applyBorder="1" applyAlignment="1" applyProtection="1">
      <alignment horizontal="left" vertical="center"/>
      <protection locked="0"/>
    </xf>
    <xf numFmtId="0" fontId="0" fillId="3" borderId="1" xfId="0"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14" fontId="0" fillId="3" borderId="5" xfId="0" applyNumberFormat="1" applyFill="1" applyBorder="1" applyAlignment="1" applyProtection="1">
      <alignment horizontal="left" vertical="center"/>
      <protection locked="0"/>
    </xf>
    <xf numFmtId="14" fontId="0" fillId="3" borderId="1" xfId="0" applyNumberFormat="1" applyFill="1" applyBorder="1" applyAlignment="1" applyProtection="1">
      <alignment horizontal="left" vertical="center"/>
      <protection locked="0"/>
    </xf>
    <xf numFmtId="14" fontId="0" fillId="3" borderId="11" xfId="0" applyNumberFormat="1" applyFill="1" applyBorder="1" applyAlignment="1" applyProtection="1">
      <alignment horizontal="left" vertical="center"/>
      <protection locked="0"/>
    </xf>
    <xf numFmtId="49" fontId="0" fillId="3" borderId="5" xfId="0" applyNumberFormat="1" applyFill="1" applyBorder="1" applyAlignment="1" applyProtection="1">
      <alignment horizontal="left" vertical="center"/>
      <protection locked="0"/>
    </xf>
    <xf numFmtId="49" fontId="0" fillId="3" borderId="1" xfId="0" applyNumberFormat="1" applyFill="1" applyBorder="1" applyAlignment="1" applyProtection="1">
      <alignment horizontal="left" vertical="center"/>
      <protection locked="0"/>
    </xf>
    <xf numFmtId="49" fontId="0" fillId="3" borderId="11" xfId="0" applyNumberFormat="1" applyFill="1" applyBorder="1" applyAlignment="1" applyProtection="1">
      <alignment horizontal="left" vertical="center"/>
      <protection locked="0"/>
    </xf>
    <xf numFmtId="49" fontId="0" fillId="3" borderId="6" xfId="0" applyNumberFormat="1" applyFill="1" applyBorder="1" applyAlignment="1" applyProtection="1">
      <alignment horizontal="left" vertical="center"/>
      <protection locked="0"/>
    </xf>
    <xf numFmtId="49" fontId="0" fillId="3" borderId="7" xfId="0" applyNumberFormat="1" applyFill="1" applyBorder="1" applyAlignment="1" applyProtection="1">
      <alignment horizontal="left" vertical="center"/>
      <protection locked="0"/>
    </xf>
    <xf numFmtId="49" fontId="0" fillId="3" borderId="12" xfId="0" applyNumberFormat="1" applyFill="1" applyBorder="1" applyAlignment="1" applyProtection="1">
      <alignment horizontal="left" vertical="center"/>
      <protection locked="0"/>
    </xf>
    <xf numFmtId="49" fontId="0" fillId="4" borderId="46" xfId="0" applyNumberFormat="1" applyFill="1" applyBorder="1" applyProtection="1">
      <protection locked="0"/>
    </xf>
    <xf numFmtId="49" fontId="0" fillId="4" borderId="47" xfId="0" applyNumberFormat="1" applyFill="1" applyBorder="1" applyProtection="1">
      <protection locked="0"/>
    </xf>
    <xf numFmtId="49" fontId="0" fillId="4" borderId="62" xfId="0" applyNumberFormat="1" applyFill="1" applyBorder="1" applyProtection="1">
      <protection locked="0"/>
    </xf>
    <xf numFmtId="49" fontId="0" fillId="4" borderId="15" xfId="0" applyNumberFormat="1" applyFill="1" applyBorder="1" applyProtection="1">
      <protection locked="0"/>
    </xf>
    <xf numFmtId="49" fontId="0" fillId="4" borderId="16" xfId="0" applyNumberFormat="1" applyFill="1" applyBorder="1" applyProtection="1">
      <protection locked="0"/>
    </xf>
    <xf numFmtId="49" fontId="0" fillId="4" borderId="45" xfId="0" applyNumberFormat="1" applyFill="1" applyBorder="1" applyProtection="1">
      <protection locked="0"/>
    </xf>
    <xf numFmtId="164" fontId="0" fillId="3" borderId="5" xfId="0" applyNumberFormat="1" applyFill="1" applyBorder="1" applyAlignment="1" applyProtection="1">
      <alignment horizontal="left" vertical="center"/>
      <protection locked="0"/>
    </xf>
    <xf numFmtId="164" fontId="0" fillId="3" borderId="1" xfId="0" applyNumberFormat="1" applyFill="1" applyBorder="1" applyAlignment="1" applyProtection="1">
      <alignment horizontal="left" vertical="center"/>
      <protection locked="0"/>
    </xf>
    <xf numFmtId="164" fontId="0" fillId="3" borderId="11" xfId="0" applyNumberFormat="1" applyFill="1" applyBorder="1" applyAlignment="1" applyProtection="1">
      <alignment horizontal="left" vertical="center"/>
      <protection locked="0"/>
    </xf>
    <xf numFmtId="0" fontId="0" fillId="17" borderId="0" xfId="0" applyFill="1" applyAlignment="1">
      <alignment vertical="top" wrapText="1"/>
    </xf>
    <xf numFmtId="49" fontId="31" fillId="0" borderId="52" xfId="0" applyNumberFormat="1" applyFont="1" applyBorder="1" applyAlignment="1" applyProtection="1">
      <alignment horizontal="center" vertical="center"/>
    </xf>
    <xf numFmtId="49" fontId="32" fillId="0" borderId="51" xfId="0" applyNumberFormat="1" applyFont="1" applyBorder="1" applyAlignment="1" applyProtection="1">
      <alignment horizontal="left" vertical="center"/>
    </xf>
    <xf numFmtId="49" fontId="32" fillId="0" borderId="51" xfId="0" applyNumberFormat="1" applyFont="1" applyBorder="1" applyAlignment="1" applyProtection="1">
      <alignment vertical="center"/>
    </xf>
    <xf numFmtId="49" fontId="32" fillId="0" borderId="51" xfId="0" applyNumberFormat="1" applyFont="1" applyBorder="1" applyAlignment="1" applyProtection="1">
      <alignment horizontal="left"/>
    </xf>
    <xf numFmtId="49" fontId="32" fillId="0" borderId="51" xfId="0" applyNumberFormat="1" applyFont="1" applyBorder="1" applyAlignment="1" applyProtection="1"/>
    <xf numFmtId="49" fontId="31" fillId="0" borderId="52" xfId="0" applyNumberFormat="1" applyFont="1" applyBorder="1" applyAlignment="1" applyProtection="1">
      <alignment horizontal="center"/>
    </xf>
    <xf numFmtId="0" fontId="14" fillId="0" borderId="0" xfId="0" applyFont="1" applyAlignment="1" applyProtection="1">
      <alignment horizontal="center" vertical="center"/>
    </xf>
    <xf numFmtId="0" fontId="0" fillId="5" borderId="20" xfId="1" applyFont="1" applyBorder="1" applyAlignment="1">
      <alignment horizontal="left" vertical="top" wrapText="1"/>
    </xf>
    <xf numFmtId="0" fontId="0" fillId="5" borderId="21" xfId="1" applyFont="1" applyBorder="1" applyAlignment="1">
      <alignment horizontal="left" vertical="top" wrapText="1"/>
    </xf>
    <xf numFmtId="0" fontId="0" fillId="5" borderId="22" xfId="1" applyFont="1" applyBorder="1" applyAlignment="1">
      <alignment horizontal="left" vertical="top" wrapText="1"/>
    </xf>
    <xf numFmtId="0" fontId="0" fillId="5" borderId="26" xfId="1" applyFont="1" applyBorder="1" applyAlignment="1">
      <alignment horizontal="left" vertical="top" wrapText="1"/>
    </xf>
    <xf numFmtId="0" fontId="0" fillId="5" borderId="19" xfId="1" applyFont="1" applyBorder="1" applyAlignment="1">
      <alignment horizontal="left" vertical="top" wrapText="1"/>
    </xf>
    <xf numFmtId="0" fontId="0" fillId="5" borderId="27" xfId="1" applyFont="1" applyBorder="1" applyAlignment="1">
      <alignment horizontal="left" vertical="top" wrapText="1"/>
    </xf>
    <xf numFmtId="0" fontId="0" fillId="5" borderId="33" xfId="1" applyFont="1" applyBorder="1" applyAlignment="1">
      <alignment horizontal="left" vertical="top" wrapText="1"/>
    </xf>
    <xf numFmtId="0" fontId="0" fillId="5" borderId="34" xfId="1" applyFont="1" applyBorder="1" applyAlignment="1">
      <alignment horizontal="left" vertical="top" wrapText="1"/>
    </xf>
    <xf numFmtId="0" fontId="0" fillId="5" borderId="35" xfId="1" applyFont="1" applyBorder="1" applyAlignment="1">
      <alignment horizontal="left" vertical="top" wrapText="1"/>
    </xf>
    <xf numFmtId="0" fontId="7" fillId="7" borderId="36" xfId="0" applyFont="1" applyFill="1" applyBorder="1" applyAlignment="1">
      <alignment horizontal="left" vertical="top" wrapText="1"/>
    </xf>
    <xf numFmtId="0" fontId="7" fillId="7" borderId="37" xfId="0" applyFont="1" applyFill="1" applyBorder="1" applyAlignment="1">
      <alignment horizontal="left" vertical="top" wrapText="1"/>
    </xf>
    <xf numFmtId="0" fontId="7" fillId="7" borderId="38" xfId="0" applyFont="1" applyFill="1" applyBorder="1" applyAlignment="1">
      <alignment horizontal="left" vertical="top" wrapText="1"/>
    </xf>
    <xf numFmtId="0" fontId="7" fillId="7" borderId="9" xfId="0" applyFont="1" applyFill="1" applyBorder="1" applyAlignment="1">
      <alignment horizontal="left" vertical="top" wrapText="1"/>
    </xf>
    <xf numFmtId="0" fontId="7" fillId="7" borderId="39" xfId="0" applyFont="1" applyFill="1" applyBorder="1" applyAlignment="1">
      <alignment horizontal="left" vertical="top" wrapText="1"/>
    </xf>
    <xf numFmtId="0" fontId="7" fillId="7" borderId="40" xfId="0" applyFont="1" applyFill="1" applyBorder="1" applyAlignment="1">
      <alignment horizontal="left" vertical="top" wrapText="1"/>
    </xf>
    <xf numFmtId="0" fontId="9" fillId="8" borderId="41" xfId="2" applyFont="1" applyFill="1" applyBorder="1" applyAlignment="1">
      <alignment horizontal="left" vertical="center"/>
    </xf>
    <xf numFmtId="0" fontId="9" fillId="8" borderId="42" xfId="2" applyFont="1" applyFill="1" applyBorder="1" applyAlignment="1">
      <alignment horizontal="left" vertical="center"/>
    </xf>
    <xf numFmtId="0" fontId="9" fillId="8" borderId="15" xfId="2" applyFont="1" applyFill="1" applyBorder="1" applyAlignment="1">
      <alignment horizontal="left" vertical="center"/>
    </xf>
    <xf numFmtId="0" fontId="9" fillId="8" borderId="43" xfId="2" applyFont="1" applyFill="1" applyBorder="1" applyAlignment="1">
      <alignment horizontal="left" vertical="center"/>
    </xf>
    <xf numFmtId="0" fontId="9" fillId="8" borderId="44" xfId="2" applyFont="1" applyFill="1" applyBorder="1" applyAlignment="1">
      <alignment horizontal="left" vertical="center"/>
    </xf>
    <xf numFmtId="0" fontId="9" fillId="8" borderId="16" xfId="2" applyFont="1" applyFill="1" applyBorder="1" applyAlignment="1">
      <alignment horizontal="left" vertical="center"/>
    </xf>
    <xf numFmtId="0" fontId="31" fillId="0" borderId="31" xfId="0" applyFont="1" applyBorder="1" applyAlignment="1" applyProtection="1">
      <alignment horizontal="left"/>
    </xf>
    <xf numFmtId="0" fontId="31" fillId="0" borderId="60" xfId="0" applyFont="1" applyBorder="1" applyAlignment="1" applyProtection="1">
      <alignment horizontal="left"/>
    </xf>
    <xf numFmtId="49" fontId="32" fillId="0" borderId="51" xfId="0" applyNumberFormat="1" applyFont="1" applyBorder="1" applyAlignment="1" applyProtection="1">
      <alignment horizontal="left"/>
    </xf>
    <xf numFmtId="49" fontId="32" fillId="0" borderId="0" xfId="0" applyNumberFormat="1" applyFont="1" applyBorder="1" applyAlignment="1" applyProtection="1">
      <alignment horizontal="left"/>
    </xf>
    <xf numFmtId="0" fontId="31" fillId="0" borderId="61" xfId="0" applyFont="1" applyBorder="1" applyAlignment="1" applyProtection="1">
      <alignment horizontal="left"/>
    </xf>
    <xf numFmtId="0" fontId="31" fillId="0" borderId="51" xfId="0" applyNumberFormat="1" applyFont="1" applyBorder="1" applyAlignment="1" applyProtection="1">
      <alignment horizontal="center" vertical="center"/>
    </xf>
    <xf numFmtId="0" fontId="31" fillId="0" borderId="0" xfId="0" applyNumberFormat="1" applyFont="1" applyBorder="1" applyAlignment="1" applyProtection="1">
      <alignment horizontal="center" vertical="center"/>
    </xf>
    <xf numFmtId="0" fontId="31" fillId="0" borderId="52" xfId="0" applyNumberFormat="1" applyFont="1" applyBorder="1" applyAlignment="1" applyProtection="1">
      <alignment horizontal="center" vertical="center"/>
    </xf>
    <xf numFmtId="0" fontId="31" fillId="0" borderId="36" xfId="0" applyNumberFormat="1" applyFont="1" applyBorder="1" applyAlignment="1" applyProtection="1">
      <alignment horizontal="center"/>
    </xf>
    <xf numFmtId="0" fontId="31" fillId="0" borderId="37" xfId="0" applyNumberFormat="1" applyFont="1" applyBorder="1" applyAlignment="1" applyProtection="1">
      <alignment horizontal="center"/>
    </xf>
    <xf numFmtId="0" fontId="31" fillId="0" borderId="38" xfId="0" applyNumberFormat="1" applyFont="1" applyBorder="1" applyAlignment="1" applyProtection="1">
      <alignment horizontal="center"/>
    </xf>
    <xf numFmtId="0" fontId="31" fillId="0" borderId="66" xfId="0" applyNumberFormat="1" applyFont="1" applyBorder="1" applyAlignment="1" applyProtection="1">
      <alignment horizontal="center" vertical="center"/>
    </xf>
    <xf numFmtId="0" fontId="31" fillId="0" borderId="31" xfId="0" applyNumberFormat="1" applyFont="1" applyBorder="1" applyAlignment="1" applyProtection="1">
      <alignment horizontal="center" vertical="center"/>
    </xf>
    <xf numFmtId="0" fontId="31" fillId="0" borderId="60" xfId="0" applyNumberFormat="1" applyFont="1" applyBorder="1" applyAlignment="1" applyProtection="1">
      <alignment horizontal="center" vertical="center"/>
    </xf>
    <xf numFmtId="0" fontId="31" fillId="0" borderId="66" xfId="0" applyNumberFormat="1" applyFont="1" applyBorder="1" applyAlignment="1" applyProtection="1">
      <alignment horizontal="center"/>
    </xf>
    <xf numFmtId="0" fontId="31" fillId="0" borderId="31" xfId="0" applyNumberFormat="1" applyFont="1" applyBorder="1" applyAlignment="1" applyProtection="1">
      <alignment horizontal="center"/>
    </xf>
    <xf numFmtId="0" fontId="31" fillId="0" borderId="60" xfId="0" applyNumberFormat="1" applyFont="1" applyBorder="1" applyAlignment="1" applyProtection="1">
      <alignment horizontal="center"/>
    </xf>
    <xf numFmtId="0" fontId="14" fillId="0" borderId="0" xfId="0" applyFont="1" applyAlignment="1" applyProtection="1">
      <alignment horizontal="center"/>
    </xf>
    <xf numFmtId="0" fontId="20" fillId="0" borderId="8" xfId="0" applyFont="1" applyBorder="1" applyAlignment="1" applyProtection="1">
      <alignment horizontal="center" vertical="center"/>
    </xf>
    <xf numFmtId="0" fontId="20" fillId="0" borderId="54" xfId="0" applyFont="1" applyBorder="1" applyAlignment="1" applyProtection="1">
      <alignment horizontal="center" vertical="center"/>
    </xf>
    <xf numFmtId="0" fontId="20" fillId="0" borderId="55" xfId="0" applyFont="1" applyBorder="1" applyAlignment="1" applyProtection="1">
      <alignment horizontal="center" vertical="center"/>
    </xf>
    <xf numFmtId="0" fontId="24" fillId="0" borderId="13" xfId="0" applyFont="1" applyBorder="1" applyAlignment="1" applyProtection="1">
      <alignment horizontal="center" vertical="center"/>
    </xf>
    <xf numFmtId="0" fontId="24" fillId="0" borderId="18" xfId="0" applyFont="1" applyBorder="1" applyAlignment="1" applyProtection="1">
      <alignment horizontal="center" vertical="center"/>
    </xf>
    <xf numFmtId="0" fontId="24" fillId="0" borderId="14" xfId="0" applyFont="1" applyBorder="1" applyAlignment="1" applyProtection="1">
      <alignment horizontal="center" vertical="center"/>
    </xf>
    <xf numFmtId="49" fontId="32" fillId="0" borderId="51" xfId="0" applyNumberFormat="1" applyFont="1" applyBorder="1" applyAlignment="1" applyProtection="1">
      <alignment horizontal="left" vertical="center"/>
    </xf>
    <xf numFmtId="49" fontId="32" fillId="0" borderId="0" xfId="0" applyNumberFormat="1" applyFont="1" applyBorder="1" applyAlignment="1" applyProtection="1">
      <alignment horizontal="left" vertical="center"/>
    </xf>
    <xf numFmtId="0" fontId="31" fillId="0" borderId="31" xfId="0" applyFont="1" applyBorder="1" applyAlignment="1" applyProtection="1">
      <alignment horizontal="left" shrinkToFit="1"/>
    </xf>
    <xf numFmtId="0" fontId="31" fillId="0" borderId="60" xfId="0" applyFont="1" applyBorder="1" applyAlignment="1" applyProtection="1">
      <alignment horizontal="left" shrinkToFit="1"/>
    </xf>
    <xf numFmtId="0" fontId="22" fillId="0" borderId="0" xfId="0" applyFont="1" applyBorder="1" applyAlignment="1" applyProtection="1">
      <alignment horizontal="center"/>
    </xf>
    <xf numFmtId="0" fontId="22" fillId="0" borderId="52" xfId="0" applyFont="1" applyBorder="1" applyAlignment="1" applyProtection="1">
      <alignment horizontal="center"/>
    </xf>
    <xf numFmtId="0" fontId="22" fillId="0" borderId="24" xfId="0" applyFont="1" applyBorder="1" applyAlignment="1" applyProtection="1">
      <alignment horizontal="center" vertical="center"/>
    </xf>
    <xf numFmtId="0" fontId="22" fillId="0" borderId="63" xfId="0" applyFont="1" applyBorder="1" applyAlignment="1" applyProtection="1">
      <alignment horizontal="center" vertical="center"/>
    </xf>
    <xf numFmtId="0" fontId="18" fillId="0" borderId="59" xfId="0" applyFont="1" applyBorder="1" applyAlignment="1" applyProtection="1">
      <alignment horizontal="center" vertical="center"/>
    </xf>
    <xf numFmtId="0" fontId="32" fillId="0" borderId="64" xfId="0" applyFont="1" applyBorder="1" applyAlignment="1" applyProtection="1">
      <alignment horizontal="center"/>
    </xf>
    <xf numFmtId="0" fontId="32" fillId="0" borderId="61" xfId="0" applyFont="1" applyBorder="1" applyAlignment="1" applyProtection="1">
      <alignment horizontal="center"/>
    </xf>
    <xf numFmtId="0" fontId="32" fillId="0" borderId="62" xfId="0" applyFont="1" applyBorder="1" applyAlignment="1" applyProtection="1">
      <alignment horizontal="center"/>
    </xf>
    <xf numFmtId="0" fontId="22" fillId="0" borderId="0" xfId="0" applyFont="1" applyBorder="1" applyAlignment="1" applyProtection="1">
      <alignment horizontal="center" vertical="center"/>
    </xf>
    <xf numFmtId="0" fontId="22" fillId="0" borderId="52" xfId="0" applyFont="1" applyBorder="1" applyAlignment="1" applyProtection="1">
      <alignment horizontal="center" vertical="center"/>
    </xf>
    <xf numFmtId="0" fontId="25" fillId="0" borderId="64" xfId="0" applyFont="1" applyBorder="1" applyAlignment="1" applyProtection="1">
      <alignment horizontal="center" vertical="center" shrinkToFit="1"/>
    </xf>
    <xf numFmtId="0" fontId="25" fillId="0" borderId="61" xfId="0" applyFont="1" applyBorder="1" applyAlignment="1" applyProtection="1">
      <alignment horizontal="center" vertical="center" shrinkToFit="1"/>
    </xf>
    <xf numFmtId="0" fontId="25" fillId="0" borderId="62" xfId="0" applyFont="1" applyBorder="1" applyAlignment="1" applyProtection="1">
      <alignment horizontal="center" vertical="center" shrinkToFit="1"/>
    </xf>
    <xf numFmtId="0" fontId="24" fillId="0" borderId="65" xfId="0" applyFont="1" applyBorder="1" applyAlignment="1" applyProtection="1">
      <alignment horizontal="center" vertical="center"/>
    </xf>
    <xf numFmtId="0" fontId="13" fillId="0" borderId="13" xfId="0" applyFont="1" applyBorder="1" applyAlignment="1" applyProtection="1">
      <alignment horizontal="center" vertical="center" shrinkToFit="1"/>
    </xf>
    <xf numFmtId="0" fontId="13" fillId="0" borderId="18" xfId="0" applyFont="1" applyBorder="1" applyAlignment="1" applyProtection="1">
      <alignment horizontal="center" vertical="center" shrinkToFit="1"/>
    </xf>
    <xf numFmtId="0" fontId="13" fillId="0" borderId="14" xfId="0" applyFont="1" applyBorder="1" applyAlignment="1" applyProtection="1">
      <alignment horizontal="center" vertical="center" shrinkToFit="1"/>
    </xf>
    <xf numFmtId="0" fontId="13" fillId="0" borderId="0" xfId="0" applyFont="1" applyFill="1" applyBorder="1" applyAlignment="1" applyProtection="1">
      <alignment horizontal="center" vertical="center" shrinkToFit="1"/>
    </xf>
    <xf numFmtId="0" fontId="18" fillId="0" borderId="0" xfId="0" applyFont="1" applyFill="1" applyBorder="1" applyAlignment="1" applyProtection="1">
      <alignment horizontal="center" vertical="center"/>
    </xf>
    <xf numFmtId="0" fontId="13" fillId="0" borderId="8" xfId="0" applyFont="1" applyBorder="1" applyAlignment="1" applyProtection="1">
      <alignment horizontal="center" vertical="center" shrinkToFit="1"/>
    </xf>
    <xf numFmtId="0" fontId="13" fillId="0" borderId="54" xfId="0" applyFont="1" applyBorder="1" applyAlignment="1" applyProtection="1">
      <alignment horizontal="center" vertical="center" shrinkToFit="1"/>
    </xf>
    <xf numFmtId="0" fontId="13" fillId="0" borderId="55" xfId="0" applyFont="1" applyBorder="1" applyAlignment="1" applyProtection="1">
      <alignment horizontal="center" vertical="center" shrinkToFit="1"/>
    </xf>
    <xf numFmtId="0" fontId="13" fillId="0" borderId="0" xfId="0" applyFont="1" applyAlignment="1" applyProtection="1">
      <alignment horizontal="center" vertical="center" shrinkToFit="1"/>
    </xf>
    <xf numFmtId="0" fontId="14" fillId="0" borderId="56" xfId="0" applyFont="1" applyBorder="1" applyAlignment="1" applyProtection="1">
      <alignment horizontal="center"/>
    </xf>
    <xf numFmtId="0" fontId="19" fillId="0" borderId="58" xfId="0" applyFont="1" applyBorder="1" applyAlignment="1" applyProtection="1">
      <alignment horizontal="center" vertical="center"/>
    </xf>
    <xf numFmtId="0" fontId="14" fillId="0" borderId="0" xfId="0" applyFont="1" applyFill="1" applyBorder="1" applyAlignment="1" applyProtection="1">
      <alignment horizontal="center"/>
    </xf>
    <xf numFmtId="0" fontId="19" fillId="0" borderId="0" xfId="0" applyFont="1" applyFill="1" applyBorder="1" applyAlignment="1" applyProtection="1">
      <alignment horizontal="center" vertical="center"/>
    </xf>
    <xf numFmtId="0" fontId="18" fillId="0" borderId="0" xfId="0" applyFont="1" applyAlignment="1" applyProtection="1">
      <alignment horizontal="center" vertical="center"/>
    </xf>
    <xf numFmtId="0" fontId="17" fillId="0" borderId="9" xfId="0" applyFont="1" applyBorder="1" applyAlignment="1" applyProtection="1">
      <alignment horizontal="center" vertical="center"/>
    </xf>
    <xf numFmtId="0" fontId="17" fillId="0" borderId="39" xfId="0" applyFont="1" applyBorder="1" applyAlignment="1" applyProtection="1">
      <alignment horizontal="center" vertical="center"/>
    </xf>
    <xf numFmtId="0" fontId="17" fillId="0" borderId="40" xfId="0" applyFont="1" applyBorder="1" applyAlignment="1" applyProtection="1">
      <alignment horizontal="center" vertical="center"/>
    </xf>
    <xf numFmtId="0" fontId="17" fillId="0" borderId="0" xfId="0" applyFont="1" applyFill="1" applyBorder="1" applyAlignment="1" applyProtection="1">
      <alignment horizontal="center" vertical="center"/>
    </xf>
    <xf numFmtId="0" fontId="14" fillId="0" borderId="57" xfId="0" applyFont="1" applyBorder="1" applyAlignment="1" applyProtection="1">
      <alignment horizontal="center"/>
    </xf>
    <xf numFmtId="0" fontId="15" fillId="15" borderId="41" xfId="0" applyFont="1" applyFill="1" applyBorder="1" applyAlignment="1" applyProtection="1">
      <alignment horizontal="center" vertical="center"/>
    </xf>
    <xf numFmtId="0" fontId="16" fillId="15" borderId="42" xfId="0" applyFont="1" applyFill="1" applyBorder="1" applyProtection="1"/>
    <xf numFmtId="0" fontId="16" fillId="15" borderId="15" xfId="0" applyFont="1" applyFill="1" applyBorder="1" applyProtection="1"/>
    <xf numFmtId="0" fontId="15" fillId="0" borderId="0" xfId="0" applyFont="1" applyFill="1" applyBorder="1" applyAlignment="1" applyProtection="1">
      <alignment horizontal="center" vertical="center"/>
    </xf>
    <xf numFmtId="0" fontId="16" fillId="0" borderId="0" xfId="0" applyFont="1" applyFill="1" applyBorder="1" applyProtection="1"/>
    <xf numFmtId="0" fontId="5" fillId="2" borderId="13" xfId="0" applyFont="1" applyFill="1" applyBorder="1" applyAlignment="1" applyProtection="1">
      <alignment horizontal="center" vertical="center"/>
    </xf>
    <xf numFmtId="0" fontId="5" fillId="2" borderId="18" xfId="0" applyFont="1" applyFill="1" applyBorder="1" applyAlignment="1" applyProtection="1">
      <alignment horizontal="center" vertical="center"/>
    </xf>
    <xf numFmtId="0" fontId="5" fillId="2" borderId="14" xfId="0" applyFont="1" applyFill="1" applyBorder="1" applyAlignment="1" applyProtection="1">
      <alignment horizontal="center" vertical="center"/>
    </xf>
    <xf numFmtId="0" fontId="5" fillId="11" borderId="48" xfId="0" applyFont="1" applyFill="1" applyBorder="1" applyAlignment="1" applyProtection="1">
      <alignment horizontal="left" vertical="center" wrapText="1"/>
    </xf>
    <xf numFmtId="0" fontId="5" fillId="11" borderId="49" xfId="0" applyFont="1" applyFill="1" applyBorder="1" applyAlignment="1" applyProtection="1">
      <alignment horizontal="left" vertical="center" wrapText="1"/>
    </xf>
    <xf numFmtId="0" fontId="5" fillId="11" borderId="50" xfId="0" applyFont="1" applyFill="1" applyBorder="1" applyAlignment="1" applyProtection="1">
      <alignment horizontal="left" vertical="center" wrapText="1"/>
    </xf>
    <xf numFmtId="0" fontId="5" fillId="11" borderId="5" xfId="0" applyFont="1" applyFill="1" applyBorder="1" applyAlignment="1" applyProtection="1">
      <alignment horizontal="left" vertical="center" wrapText="1"/>
    </xf>
    <xf numFmtId="0" fontId="5" fillId="11" borderId="1" xfId="0" applyFont="1" applyFill="1" applyBorder="1" applyAlignment="1" applyProtection="1">
      <alignment horizontal="left" vertical="center" wrapText="1"/>
    </xf>
    <xf numFmtId="0" fontId="5" fillId="11" borderId="11" xfId="0" applyFont="1" applyFill="1" applyBorder="1" applyAlignment="1" applyProtection="1">
      <alignment horizontal="left" vertical="center" wrapText="1"/>
    </xf>
    <xf numFmtId="0" fontId="5" fillId="11" borderId="6" xfId="0" applyFont="1" applyFill="1" applyBorder="1" applyAlignment="1" applyProtection="1">
      <alignment horizontal="left" vertical="center" wrapText="1"/>
    </xf>
    <xf numFmtId="0" fontId="5" fillId="11" borderId="7" xfId="0" applyFont="1" applyFill="1" applyBorder="1" applyAlignment="1" applyProtection="1">
      <alignment horizontal="left" vertical="center" wrapText="1"/>
    </xf>
    <xf numFmtId="0" fontId="5" fillId="11" borderId="12" xfId="0" applyFont="1" applyFill="1" applyBorder="1" applyAlignment="1" applyProtection="1">
      <alignment horizontal="left" vertical="center" wrapText="1"/>
    </xf>
    <xf numFmtId="0" fontId="11" fillId="12" borderId="36" xfId="0" applyFont="1" applyFill="1" applyBorder="1" applyAlignment="1" applyProtection="1">
      <alignment horizontal="center" vertical="center"/>
    </xf>
    <xf numFmtId="0" fontId="11" fillId="12" borderId="37" xfId="0" applyFont="1" applyFill="1" applyBorder="1" applyAlignment="1" applyProtection="1">
      <alignment horizontal="center" vertical="center"/>
    </xf>
    <xf numFmtId="0" fontId="11" fillId="12" borderId="38" xfId="0" applyFont="1" applyFill="1" applyBorder="1" applyAlignment="1" applyProtection="1">
      <alignment horizontal="center" vertical="center"/>
    </xf>
    <xf numFmtId="49" fontId="0" fillId="12" borderId="51" xfId="0" applyNumberFormat="1" applyFill="1" applyBorder="1" applyAlignment="1" applyProtection="1">
      <alignment horizontal="left" vertical="top" wrapText="1"/>
      <protection locked="0"/>
    </xf>
    <xf numFmtId="49" fontId="0" fillId="12" borderId="0" xfId="0" applyNumberFormat="1" applyFill="1" applyBorder="1" applyAlignment="1" applyProtection="1">
      <alignment horizontal="left" vertical="top" wrapText="1"/>
      <protection locked="0"/>
    </xf>
    <xf numFmtId="49" fontId="0" fillId="12" borderId="52" xfId="0" applyNumberFormat="1" applyFill="1" applyBorder="1" applyAlignment="1" applyProtection="1">
      <alignment horizontal="left" vertical="top" wrapText="1"/>
      <protection locked="0"/>
    </xf>
    <xf numFmtId="49" fontId="0" fillId="12" borderId="9" xfId="0" applyNumberFormat="1" applyFill="1" applyBorder="1" applyAlignment="1" applyProtection="1">
      <alignment horizontal="left" vertical="top" wrapText="1"/>
      <protection locked="0"/>
    </xf>
    <xf numFmtId="49" fontId="0" fillId="12" borderId="39" xfId="0" applyNumberFormat="1" applyFill="1" applyBorder="1" applyAlignment="1" applyProtection="1">
      <alignment horizontal="left" vertical="top" wrapText="1"/>
      <protection locked="0"/>
    </xf>
    <xf numFmtId="49" fontId="0" fillId="12" borderId="40" xfId="0" applyNumberFormat="1" applyFill="1" applyBorder="1" applyAlignment="1" applyProtection="1">
      <alignment horizontal="left" vertical="top" wrapText="1"/>
      <protection locked="0"/>
    </xf>
    <xf numFmtId="49" fontId="0" fillId="3" borderId="8" xfId="0" applyNumberFormat="1" applyFill="1" applyBorder="1" applyAlignment="1" applyProtection="1">
      <alignment horizontal="center"/>
      <protection locked="0"/>
    </xf>
    <xf numFmtId="49" fontId="0" fillId="3" borderId="55" xfId="0" applyNumberFormat="1" applyFill="1" applyBorder="1" applyAlignment="1" applyProtection="1">
      <alignment horizontal="center"/>
      <protection locked="0"/>
    </xf>
    <xf numFmtId="0" fontId="5" fillId="14" borderId="8" xfId="0" applyFont="1" applyFill="1" applyBorder="1" applyAlignment="1" applyProtection="1">
      <alignment horizontal="center"/>
    </xf>
    <xf numFmtId="0" fontId="5" fillId="14" borderId="55" xfId="0" applyFont="1" applyFill="1" applyBorder="1" applyAlignment="1" applyProtection="1">
      <alignment horizontal="center"/>
    </xf>
    <xf numFmtId="0" fontId="32" fillId="0" borderId="61" xfId="0" applyFont="1" applyBorder="1" applyAlignment="1" applyProtection="1">
      <alignment horizontal="right"/>
    </xf>
    <xf numFmtId="0" fontId="31" fillId="0" borderId="62" xfId="0" applyFont="1" applyBorder="1" applyAlignment="1" applyProtection="1">
      <alignment horizontal="left"/>
    </xf>
  </cellXfs>
  <cellStyles count="3">
    <cellStyle name="Hyperlink" xfId="2" builtinId="8"/>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581025</xdr:colOff>
          <xdr:row>0</xdr:row>
          <xdr:rowOff>19050</xdr:rowOff>
        </xdr:from>
        <xdr:to>
          <xdr:col>1</xdr:col>
          <xdr:colOff>1809750</xdr:colOff>
          <xdr:row>0</xdr:row>
          <xdr:rowOff>180975</xdr:rowOff>
        </xdr:to>
        <xdr:sp macro="" textlink="">
          <xdr:nvSpPr>
            <xdr:cNvPr id="1043" name="ChkBx_Show_Label_1" descr="Show Label 1"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0</xdr:row>
          <xdr:rowOff>19050</xdr:rowOff>
        </xdr:from>
        <xdr:to>
          <xdr:col>2</xdr:col>
          <xdr:colOff>1809750</xdr:colOff>
          <xdr:row>0</xdr:row>
          <xdr:rowOff>180975</xdr:rowOff>
        </xdr:to>
        <xdr:sp macro="" textlink="">
          <xdr:nvSpPr>
            <xdr:cNvPr id="1044" name="ChkBx_Show_Label_2" descr="Show Label 2"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19050</xdr:rowOff>
        </xdr:from>
        <xdr:to>
          <xdr:col>3</xdr:col>
          <xdr:colOff>1809750</xdr:colOff>
          <xdr:row>0</xdr:row>
          <xdr:rowOff>180975</xdr:rowOff>
        </xdr:to>
        <xdr:sp macro="" textlink="">
          <xdr:nvSpPr>
            <xdr:cNvPr id="1045" name="ChkBx_Show_Label_3" descr="Show Label 3"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0</xdr:row>
          <xdr:rowOff>19050</xdr:rowOff>
        </xdr:from>
        <xdr:to>
          <xdr:col>4</xdr:col>
          <xdr:colOff>1809750</xdr:colOff>
          <xdr:row>0</xdr:row>
          <xdr:rowOff>180975</xdr:rowOff>
        </xdr:to>
        <xdr:sp macro="" textlink="">
          <xdr:nvSpPr>
            <xdr:cNvPr id="1046" name="ChkBx_Show_Label_4" descr="Show Label 4"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xdr:row>
          <xdr:rowOff>76200</xdr:rowOff>
        </xdr:from>
        <xdr:to>
          <xdr:col>8</xdr:col>
          <xdr:colOff>76200</xdr:colOff>
          <xdr:row>2</xdr:row>
          <xdr:rowOff>95250</xdr:rowOff>
        </xdr:to>
        <xdr:sp macro="" textlink="">
          <xdr:nvSpPr>
            <xdr:cNvPr id="1069" name="ChkBx_Show_2nd_Storage_Label" descr="Show 2nd Storage Label"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Show 2nd Storage 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2</xdr:row>
          <xdr:rowOff>123825</xdr:rowOff>
        </xdr:from>
        <xdr:to>
          <xdr:col>8</xdr:col>
          <xdr:colOff>76200</xdr:colOff>
          <xdr:row>3</xdr:row>
          <xdr:rowOff>142875</xdr:rowOff>
        </xdr:to>
        <xdr:sp macro="" textlink="">
          <xdr:nvSpPr>
            <xdr:cNvPr id="1070" name="ChkBx_Show_3rd_Storage_Label" descr="Show 3rd Storage Label"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Show 3rd Storage 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3</xdr:row>
          <xdr:rowOff>171450</xdr:rowOff>
        </xdr:from>
        <xdr:to>
          <xdr:col>8</xdr:col>
          <xdr:colOff>76200</xdr:colOff>
          <xdr:row>4</xdr:row>
          <xdr:rowOff>190500</xdr:rowOff>
        </xdr:to>
        <xdr:sp macro="" textlink="">
          <xdr:nvSpPr>
            <xdr:cNvPr id="1071" name="ChkBx_Show_4th_Storage_Label" descr="Show 4th Storage Label"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Show 4th Storage Label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3</xdr:row>
          <xdr:rowOff>76200</xdr:rowOff>
        </xdr:from>
        <xdr:to>
          <xdr:col>7</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xdr:row>
          <xdr:rowOff>76200</xdr:rowOff>
        </xdr:from>
        <xdr:to>
          <xdr:col>16</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sqref="A1:I30"/>
    </sheetView>
  </sheetViews>
  <sheetFormatPr defaultColWidth="9.140625" defaultRowHeight="15" x14ac:dyDescent="0.25"/>
  <cols>
    <col min="1" max="9" width="9.140625" style="11"/>
    <col min="10" max="16384" width="9.140625" style="1"/>
  </cols>
  <sheetData>
    <row r="1" spans="1:21" ht="15" customHeight="1" x14ac:dyDescent="0.25">
      <c r="A1" s="61" t="s">
        <v>1</v>
      </c>
      <c r="B1" s="62"/>
      <c r="C1" s="62"/>
      <c r="D1" s="62"/>
      <c r="E1" s="62"/>
      <c r="F1" s="62"/>
      <c r="G1" s="62"/>
      <c r="H1" s="62"/>
      <c r="I1" s="63"/>
      <c r="K1" s="2" t="s">
        <v>2</v>
      </c>
      <c r="L1" s="3"/>
      <c r="M1" s="3"/>
      <c r="N1" s="3"/>
      <c r="O1" s="3"/>
      <c r="P1" s="3"/>
      <c r="Q1" s="3"/>
      <c r="R1" s="4"/>
    </row>
    <row r="2" spans="1:21" x14ac:dyDescent="0.25">
      <c r="A2" s="64"/>
      <c r="B2" s="65"/>
      <c r="C2" s="65"/>
      <c r="D2" s="65"/>
      <c r="E2" s="65"/>
      <c r="F2" s="65"/>
      <c r="G2" s="65"/>
      <c r="H2" s="65"/>
      <c r="I2" s="66"/>
      <c r="K2" s="5"/>
      <c r="R2" s="6"/>
    </row>
    <row r="3" spans="1:21" x14ac:dyDescent="0.25">
      <c r="A3" s="64"/>
      <c r="B3" s="65"/>
      <c r="C3" s="65"/>
      <c r="D3" s="65"/>
      <c r="E3" s="65"/>
      <c r="F3" s="65"/>
      <c r="G3" s="65"/>
      <c r="H3" s="65"/>
      <c r="I3" s="66"/>
      <c r="K3" s="5"/>
      <c r="R3" s="6"/>
    </row>
    <row r="4" spans="1:21" x14ac:dyDescent="0.25">
      <c r="A4" s="64"/>
      <c r="B4" s="65"/>
      <c r="C4" s="65"/>
      <c r="D4" s="65"/>
      <c r="E4" s="65"/>
      <c r="F4" s="65"/>
      <c r="G4" s="65"/>
      <c r="H4" s="65"/>
      <c r="I4" s="66"/>
      <c r="K4" s="2" t="s">
        <v>3</v>
      </c>
      <c r="L4" s="3"/>
      <c r="M4" s="3"/>
      <c r="N4" s="3"/>
      <c r="O4" s="3"/>
      <c r="P4" s="7"/>
      <c r="Q4" s="3"/>
      <c r="R4" s="3"/>
      <c r="S4" s="3"/>
      <c r="T4" s="3"/>
      <c r="U4" s="4"/>
    </row>
    <row r="5" spans="1:21" x14ac:dyDescent="0.25">
      <c r="A5" s="64"/>
      <c r="B5" s="65"/>
      <c r="C5" s="65"/>
      <c r="D5" s="65"/>
      <c r="E5" s="65"/>
      <c r="F5" s="65"/>
      <c r="G5" s="65"/>
      <c r="H5" s="65"/>
      <c r="I5" s="66"/>
      <c r="K5" s="5"/>
      <c r="U5" s="6"/>
    </row>
    <row r="6" spans="1:21" x14ac:dyDescent="0.25">
      <c r="A6" s="64"/>
      <c r="B6" s="65"/>
      <c r="C6" s="65"/>
      <c r="D6" s="65"/>
      <c r="E6" s="65"/>
      <c r="F6" s="65"/>
      <c r="G6" s="65"/>
      <c r="H6" s="65"/>
      <c r="I6" s="66"/>
      <c r="K6" s="5"/>
      <c r="U6" s="6"/>
    </row>
    <row r="7" spans="1:21" x14ac:dyDescent="0.25">
      <c r="A7" s="64"/>
      <c r="B7" s="65"/>
      <c r="C7" s="65"/>
      <c r="D7" s="65"/>
      <c r="E7" s="65"/>
      <c r="F7" s="65"/>
      <c r="G7" s="65"/>
      <c r="H7" s="65"/>
      <c r="I7" s="66"/>
      <c r="K7" s="8"/>
      <c r="L7" s="9"/>
      <c r="M7" s="9"/>
      <c r="N7" s="9"/>
      <c r="O7" s="9"/>
      <c r="P7" s="9"/>
      <c r="Q7" s="9"/>
      <c r="R7" s="9"/>
      <c r="S7" s="9"/>
      <c r="T7" s="9"/>
      <c r="U7" s="10"/>
    </row>
    <row r="8" spans="1:21" x14ac:dyDescent="0.25">
      <c r="A8" s="64"/>
      <c r="B8" s="65"/>
      <c r="C8" s="65"/>
      <c r="D8" s="65"/>
      <c r="E8" s="65"/>
      <c r="F8" s="65"/>
      <c r="G8" s="65"/>
      <c r="H8" s="65"/>
      <c r="I8" s="66"/>
      <c r="K8" s="2" t="s">
        <v>4</v>
      </c>
      <c r="L8" s="3"/>
      <c r="M8" s="3"/>
      <c r="N8" s="3"/>
      <c r="O8" s="4"/>
      <c r="P8" s="2" t="s">
        <v>5</v>
      </c>
      <c r="Q8" s="3"/>
      <c r="R8" s="3"/>
      <c r="S8" s="3"/>
      <c r="T8" s="3"/>
      <c r="U8" s="4"/>
    </row>
    <row r="9" spans="1:21" x14ac:dyDescent="0.25">
      <c r="A9" s="64"/>
      <c r="B9" s="65"/>
      <c r="C9" s="65"/>
      <c r="D9" s="65"/>
      <c r="E9" s="65"/>
      <c r="F9" s="65"/>
      <c r="G9" s="65"/>
      <c r="H9" s="65"/>
      <c r="I9" s="66"/>
      <c r="K9" s="5"/>
      <c r="O9" s="6"/>
      <c r="P9" s="5"/>
      <c r="U9" s="6"/>
    </row>
    <row r="10" spans="1:21" x14ac:dyDescent="0.25">
      <c r="A10" s="64"/>
      <c r="B10" s="65"/>
      <c r="C10" s="65"/>
      <c r="D10" s="65"/>
      <c r="E10" s="65"/>
      <c r="F10" s="65"/>
      <c r="G10" s="65"/>
      <c r="H10" s="65"/>
      <c r="I10" s="66"/>
      <c r="K10" s="5"/>
      <c r="O10" s="6"/>
      <c r="P10" s="5"/>
      <c r="U10" s="6"/>
    </row>
    <row r="11" spans="1:21" x14ac:dyDescent="0.25">
      <c r="A11" s="64"/>
      <c r="B11" s="65"/>
      <c r="C11" s="65"/>
      <c r="D11" s="65"/>
      <c r="E11" s="65"/>
      <c r="F11" s="65"/>
      <c r="G11" s="65"/>
      <c r="H11" s="65"/>
      <c r="I11" s="66"/>
      <c r="K11" s="5"/>
      <c r="O11" s="6"/>
      <c r="P11" s="5"/>
      <c r="U11" s="6"/>
    </row>
    <row r="12" spans="1:21" x14ac:dyDescent="0.25">
      <c r="A12" s="64"/>
      <c r="B12" s="65"/>
      <c r="C12" s="65"/>
      <c r="D12" s="65"/>
      <c r="E12" s="65"/>
      <c r="F12" s="65"/>
      <c r="G12" s="65"/>
      <c r="H12" s="65"/>
      <c r="I12" s="66"/>
      <c r="K12" s="5"/>
      <c r="O12" s="6"/>
      <c r="P12" s="5"/>
      <c r="U12" s="6"/>
    </row>
    <row r="13" spans="1:21" x14ac:dyDescent="0.25">
      <c r="A13" s="64"/>
      <c r="B13" s="65"/>
      <c r="C13" s="65"/>
      <c r="D13" s="65"/>
      <c r="E13" s="65"/>
      <c r="F13" s="65"/>
      <c r="G13" s="65"/>
      <c r="H13" s="65"/>
      <c r="I13" s="66"/>
      <c r="K13" s="5"/>
      <c r="O13" s="6"/>
      <c r="P13" s="5"/>
      <c r="U13" s="6"/>
    </row>
    <row r="14" spans="1:21" x14ac:dyDescent="0.25">
      <c r="A14" s="64"/>
      <c r="B14" s="65"/>
      <c r="C14" s="65"/>
      <c r="D14" s="65"/>
      <c r="E14" s="65"/>
      <c r="F14" s="65"/>
      <c r="G14" s="65"/>
      <c r="H14" s="65"/>
      <c r="I14" s="66"/>
      <c r="K14" s="5"/>
      <c r="O14" s="6"/>
      <c r="P14" s="5"/>
      <c r="U14" s="6"/>
    </row>
    <row r="15" spans="1:21" x14ac:dyDescent="0.25">
      <c r="A15" s="64"/>
      <c r="B15" s="65"/>
      <c r="C15" s="65"/>
      <c r="D15" s="65"/>
      <c r="E15" s="65"/>
      <c r="F15" s="65"/>
      <c r="G15" s="65"/>
      <c r="H15" s="65"/>
      <c r="I15" s="66"/>
      <c r="K15" s="5"/>
      <c r="O15" s="6"/>
      <c r="P15" s="5"/>
      <c r="U15" s="6"/>
    </row>
    <row r="16" spans="1:21" x14ac:dyDescent="0.25">
      <c r="A16" s="64"/>
      <c r="B16" s="65"/>
      <c r="C16" s="65"/>
      <c r="D16" s="65"/>
      <c r="E16" s="65"/>
      <c r="F16" s="65"/>
      <c r="G16" s="65"/>
      <c r="H16" s="65"/>
      <c r="I16" s="66"/>
      <c r="K16" s="5"/>
      <c r="O16" s="6"/>
      <c r="P16" s="5"/>
      <c r="U16" s="6"/>
    </row>
    <row r="17" spans="1:21" x14ac:dyDescent="0.25">
      <c r="A17" s="64"/>
      <c r="B17" s="65"/>
      <c r="C17" s="65"/>
      <c r="D17" s="65"/>
      <c r="E17" s="65"/>
      <c r="F17" s="65"/>
      <c r="G17" s="65"/>
      <c r="H17" s="65"/>
      <c r="I17" s="66"/>
      <c r="K17" s="5"/>
      <c r="O17" s="6"/>
      <c r="P17" s="8"/>
      <c r="Q17" s="9"/>
      <c r="R17" s="9"/>
      <c r="S17" s="9"/>
      <c r="T17" s="9"/>
      <c r="U17" s="10"/>
    </row>
    <row r="18" spans="1:21" x14ac:dyDescent="0.25">
      <c r="A18" s="64"/>
      <c r="B18" s="65"/>
      <c r="C18" s="65"/>
      <c r="D18" s="65"/>
      <c r="E18" s="65"/>
      <c r="F18" s="65"/>
      <c r="G18" s="65"/>
      <c r="H18" s="65"/>
      <c r="I18" s="66"/>
      <c r="K18" s="5"/>
      <c r="O18" s="6"/>
    </row>
    <row r="19" spans="1:21" x14ac:dyDescent="0.25">
      <c r="A19" s="64"/>
      <c r="B19" s="65"/>
      <c r="C19" s="65"/>
      <c r="D19" s="65"/>
      <c r="E19" s="65"/>
      <c r="F19" s="65"/>
      <c r="G19" s="65"/>
      <c r="H19" s="65"/>
      <c r="I19" s="66"/>
      <c r="K19" s="5"/>
      <c r="O19" s="6"/>
    </row>
    <row r="20" spans="1:21" x14ac:dyDescent="0.25">
      <c r="A20" s="64"/>
      <c r="B20" s="65"/>
      <c r="C20" s="65"/>
      <c r="D20" s="65"/>
      <c r="E20" s="65"/>
      <c r="F20" s="65"/>
      <c r="G20" s="65"/>
      <c r="H20" s="65"/>
      <c r="I20" s="66"/>
      <c r="K20" s="5"/>
      <c r="O20" s="6"/>
    </row>
    <row r="21" spans="1:21" x14ac:dyDescent="0.25">
      <c r="A21" s="64"/>
      <c r="B21" s="65"/>
      <c r="C21" s="65"/>
      <c r="D21" s="65"/>
      <c r="E21" s="65"/>
      <c r="F21" s="65"/>
      <c r="G21" s="65"/>
      <c r="H21" s="65"/>
      <c r="I21" s="66"/>
      <c r="K21" s="5"/>
      <c r="O21" s="6"/>
    </row>
    <row r="22" spans="1:21" x14ac:dyDescent="0.25">
      <c r="A22" s="64"/>
      <c r="B22" s="65"/>
      <c r="C22" s="65"/>
      <c r="D22" s="65"/>
      <c r="E22" s="65"/>
      <c r="F22" s="65"/>
      <c r="G22" s="65"/>
      <c r="H22" s="65"/>
      <c r="I22" s="66"/>
      <c r="K22" s="5"/>
      <c r="O22" s="6"/>
    </row>
    <row r="23" spans="1:21" x14ac:dyDescent="0.25">
      <c r="A23" s="64"/>
      <c r="B23" s="65"/>
      <c r="C23" s="65"/>
      <c r="D23" s="65"/>
      <c r="E23" s="65"/>
      <c r="F23" s="65"/>
      <c r="G23" s="65"/>
      <c r="H23" s="65"/>
      <c r="I23" s="66"/>
      <c r="K23" s="5"/>
      <c r="O23" s="6"/>
    </row>
    <row r="24" spans="1:21" x14ac:dyDescent="0.25">
      <c r="A24" s="64"/>
      <c r="B24" s="65"/>
      <c r="C24" s="65"/>
      <c r="D24" s="65"/>
      <c r="E24" s="65"/>
      <c r="F24" s="65"/>
      <c r="G24" s="65"/>
      <c r="H24" s="65"/>
      <c r="I24" s="66"/>
      <c r="K24" s="5"/>
      <c r="O24" s="6"/>
    </row>
    <row r="25" spans="1:21" x14ac:dyDescent="0.25">
      <c r="A25" s="64"/>
      <c r="B25" s="65"/>
      <c r="C25" s="65"/>
      <c r="D25" s="65"/>
      <c r="E25" s="65"/>
      <c r="F25" s="65"/>
      <c r="G25" s="65"/>
      <c r="H25" s="65"/>
      <c r="I25" s="66"/>
      <c r="K25" s="5"/>
      <c r="O25" s="6"/>
    </row>
    <row r="26" spans="1:21" x14ac:dyDescent="0.25">
      <c r="A26" s="64"/>
      <c r="B26" s="65"/>
      <c r="C26" s="65"/>
      <c r="D26" s="65"/>
      <c r="E26" s="65"/>
      <c r="F26" s="65"/>
      <c r="G26" s="65"/>
      <c r="H26" s="65"/>
      <c r="I26" s="66"/>
      <c r="K26" s="5"/>
      <c r="O26" s="6"/>
    </row>
    <row r="27" spans="1:21" x14ac:dyDescent="0.25">
      <c r="A27" s="64"/>
      <c r="B27" s="65"/>
      <c r="C27" s="65"/>
      <c r="D27" s="65"/>
      <c r="E27" s="65"/>
      <c r="F27" s="65"/>
      <c r="G27" s="65"/>
      <c r="H27" s="65"/>
      <c r="I27" s="66"/>
      <c r="K27" s="5"/>
      <c r="O27" s="6"/>
    </row>
    <row r="28" spans="1:21" x14ac:dyDescent="0.25">
      <c r="A28" s="64"/>
      <c r="B28" s="65"/>
      <c r="C28" s="65"/>
      <c r="D28" s="65"/>
      <c r="E28" s="65"/>
      <c r="F28" s="65"/>
      <c r="G28" s="65"/>
      <c r="H28" s="65"/>
      <c r="I28" s="66"/>
      <c r="K28" s="5"/>
      <c r="O28" s="6"/>
    </row>
    <row r="29" spans="1:21" x14ac:dyDescent="0.25">
      <c r="A29" s="64"/>
      <c r="B29" s="65"/>
      <c r="C29" s="65"/>
      <c r="D29" s="65"/>
      <c r="E29" s="65"/>
      <c r="F29" s="65"/>
      <c r="G29" s="65"/>
      <c r="H29" s="65"/>
      <c r="I29" s="66"/>
      <c r="K29" s="8"/>
      <c r="L29" s="9"/>
      <c r="M29" s="9"/>
      <c r="N29" s="9"/>
      <c r="O29" s="10"/>
    </row>
    <row r="30" spans="1:21" ht="15.75" thickBot="1" x14ac:dyDescent="0.3">
      <c r="A30" s="67"/>
      <c r="B30" s="68"/>
      <c r="C30" s="68"/>
      <c r="D30" s="68"/>
      <c r="E30" s="68"/>
      <c r="F30" s="68"/>
      <c r="G30" s="68"/>
      <c r="H30" s="68"/>
      <c r="I30" s="69"/>
    </row>
    <row r="31" spans="1:21" ht="15.75" thickBot="1" x14ac:dyDescent="0.3"/>
    <row r="32" spans="1:21" x14ac:dyDescent="0.25">
      <c r="C32" s="70" t="s">
        <v>6</v>
      </c>
      <c r="D32" s="71"/>
      <c r="E32" s="71"/>
      <c r="F32" s="72"/>
    </row>
    <row r="33" spans="3:6" ht="15.75" thickBot="1" x14ac:dyDescent="0.3">
      <c r="C33" s="73"/>
      <c r="D33" s="74"/>
      <c r="E33" s="74"/>
      <c r="F33" s="75"/>
    </row>
    <row r="34" spans="3:6" ht="15.75" thickBot="1" x14ac:dyDescent="0.3">
      <c r="C34" s="12" t="s">
        <v>7</v>
      </c>
      <c r="D34" s="76" t="s">
        <v>8</v>
      </c>
      <c r="E34" s="77"/>
      <c r="F34" s="78"/>
    </row>
    <row r="35" spans="3:6" ht="15.75" thickBot="1" x14ac:dyDescent="0.3">
      <c r="C35" s="12" t="s">
        <v>9</v>
      </c>
      <c r="D35" s="79" t="s">
        <v>13</v>
      </c>
      <c r="E35" s="80"/>
      <c r="F35" s="81"/>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display="jeffreysda@gmail.com" xr:uid="{00000000-0004-0000-0000-000001000000}"/>
  </hyperlinks>
  <pageMargins left="0.7" right="0.7" top="0.75" bottom="0.75" header="0.3" footer="0.3"/>
  <pageSetup paperSize="119" orientation="portrait" horizontalDpi="300" verticalDpi="3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51"/>
  <sheetViews>
    <sheetView zoomScaleNormal="100" workbookViewId="0">
      <selection activeCell="B2" sqref="B2"/>
    </sheetView>
  </sheetViews>
  <sheetFormatPr defaultRowHeight="15" x14ac:dyDescent="0.25"/>
  <cols>
    <col min="1" max="1" width="26.5703125" style="28" bestFit="1" customWidth="1"/>
    <col min="2" max="5" width="38.85546875" style="28" bestFit="1" customWidth="1"/>
    <col min="6" max="7" width="9.140625" style="28"/>
    <col min="8" max="13" width="9.140625" style="28" customWidth="1"/>
    <col min="14" max="16384" width="9.140625" style="28"/>
  </cols>
  <sheetData>
    <row r="1" spans="1:5" ht="15.75" thickBot="1" x14ac:dyDescent="0.3">
      <c r="A1" s="27" t="str">
        <f>TRIM(CONCATENATE(DevMode!$E$1,": ",DevMode!$E$2))</f>
        <v>Version: 1.4</v>
      </c>
      <c r="B1" s="19" t="s">
        <v>119</v>
      </c>
      <c r="C1" s="19" t="s">
        <v>120</v>
      </c>
      <c r="D1" s="19" t="s">
        <v>121</v>
      </c>
      <c r="E1" s="19" t="s">
        <v>122</v>
      </c>
    </row>
    <row r="2" spans="1:5" ht="15.75" thickBot="1" x14ac:dyDescent="0.3">
      <c r="A2" s="21" t="s">
        <v>125</v>
      </c>
      <c r="B2" s="29"/>
      <c r="C2" s="30"/>
      <c r="D2" s="30"/>
      <c r="E2" s="31"/>
    </row>
    <row r="3" spans="1:5" ht="15.75" thickBot="1" x14ac:dyDescent="0.3">
      <c r="A3" s="21" t="s">
        <v>155</v>
      </c>
      <c r="B3" s="32"/>
      <c r="C3" s="33"/>
      <c r="D3" s="33"/>
      <c r="E3" s="34"/>
    </row>
    <row r="4" spans="1:5" ht="15.75" thickBot="1" x14ac:dyDescent="0.3">
      <c r="A4" s="21" t="s">
        <v>21</v>
      </c>
      <c r="B4" s="32" t="s">
        <v>134</v>
      </c>
      <c r="C4" s="33"/>
      <c r="D4" s="33"/>
      <c r="E4" s="34"/>
    </row>
    <row r="5" spans="1:5" ht="15.75" thickBot="1" x14ac:dyDescent="0.3">
      <c r="A5" s="21" t="s">
        <v>22</v>
      </c>
      <c r="B5" s="32" t="s">
        <v>135</v>
      </c>
      <c r="C5" s="33"/>
      <c r="D5" s="33"/>
      <c r="E5" s="34"/>
    </row>
    <row r="6" spans="1:5" ht="15.75" thickBot="1" x14ac:dyDescent="0.3">
      <c r="A6" s="21" t="s">
        <v>23</v>
      </c>
      <c r="B6" s="35" t="s">
        <v>136</v>
      </c>
      <c r="C6" s="36"/>
      <c r="D6" s="36"/>
      <c r="E6" s="37"/>
    </row>
    <row r="7" spans="1:5" ht="15.75" thickBot="1" x14ac:dyDescent="0.3">
      <c r="A7" s="21" t="s">
        <v>24</v>
      </c>
      <c r="B7" s="32" t="s">
        <v>25</v>
      </c>
      <c r="C7" s="33"/>
      <c r="D7" s="33"/>
      <c r="E7" s="34"/>
    </row>
    <row r="8" spans="1:5" ht="15.75" thickBot="1" x14ac:dyDescent="0.3">
      <c r="A8" s="21" t="s">
        <v>26</v>
      </c>
      <c r="B8" s="50" t="s">
        <v>137</v>
      </c>
      <c r="C8" s="51"/>
      <c r="D8" s="51"/>
      <c r="E8" s="52"/>
    </row>
    <row r="9" spans="1:5" ht="15.75" thickBot="1" x14ac:dyDescent="0.3">
      <c r="A9" s="21" t="s">
        <v>106</v>
      </c>
      <c r="B9" s="32"/>
      <c r="C9" s="33"/>
      <c r="D9" s="33"/>
      <c r="E9" s="34"/>
    </row>
    <row r="10" spans="1:5" ht="15.75" thickBot="1" x14ac:dyDescent="0.3">
      <c r="A10" s="20" t="s">
        <v>124</v>
      </c>
      <c r="B10" s="35"/>
      <c r="C10" s="36"/>
      <c r="D10" s="36"/>
      <c r="E10" s="37"/>
    </row>
    <row r="11" spans="1:5" ht="15.75" thickBot="1" x14ac:dyDescent="0.3">
      <c r="A11" s="20" t="s">
        <v>151</v>
      </c>
      <c r="B11" s="35"/>
      <c r="C11" s="36"/>
      <c r="D11" s="36"/>
      <c r="E11" s="37"/>
    </row>
    <row r="12" spans="1:5" ht="15.75" thickBot="1" x14ac:dyDescent="0.3">
      <c r="A12" s="20" t="s">
        <v>152</v>
      </c>
      <c r="B12" s="35"/>
      <c r="C12" s="36"/>
      <c r="D12" s="36"/>
      <c r="E12" s="37"/>
    </row>
    <row r="13" spans="1:5" ht="15.75" thickBot="1" x14ac:dyDescent="0.3">
      <c r="A13" s="21" t="s">
        <v>27</v>
      </c>
      <c r="B13" s="32"/>
      <c r="C13" s="33"/>
      <c r="D13" s="33"/>
      <c r="E13" s="34"/>
    </row>
    <row r="14" spans="1:5" ht="15.75" thickBot="1" x14ac:dyDescent="0.3">
      <c r="A14" s="21" t="s">
        <v>28</v>
      </c>
      <c r="B14" s="32"/>
      <c r="C14" s="33"/>
      <c r="D14" s="33"/>
      <c r="E14" s="34"/>
    </row>
    <row r="15" spans="1:5" ht="15.75" thickBot="1" x14ac:dyDescent="0.3">
      <c r="A15" s="21" t="s">
        <v>133</v>
      </c>
      <c r="B15" s="32"/>
      <c r="C15" s="33"/>
      <c r="D15" s="33"/>
      <c r="E15" s="34"/>
    </row>
    <row r="16" spans="1:5" ht="15.75" thickBot="1" x14ac:dyDescent="0.3">
      <c r="A16" s="21" t="s">
        <v>110</v>
      </c>
      <c r="B16" s="32"/>
      <c r="C16" s="33"/>
      <c r="D16" s="33"/>
      <c r="E16" s="34"/>
    </row>
    <row r="17" spans="1:5" ht="15.75" thickBot="1" x14ac:dyDescent="0.3">
      <c r="A17" s="21" t="s">
        <v>91</v>
      </c>
      <c r="B17" s="32"/>
      <c r="C17" s="33"/>
      <c r="D17" s="33"/>
      <c r="E17" s="34"/>
    </row>
    <row r="18" spans="1:5" ht="15.75" thickBot="1" x14ac:dyDescent="0.3">
      <c r="A18" s="21" t="s">
        <v>30</v>
      </c>
      <c r="B18" s="38"/>
      <c r="C18" s="39"/>
      <c r="D18" s="39"/>
      <c r="E18" s="40"/>
    </row>
    <row r="19" spans="1:5" ht="15.75" thickBot="1" x14ac:dyDescent="0.3">
      <c r="A19" s="21" t="s">
        <v>31</v>
      </c>
      <c r="B19" s="32"/>
      <c r="C19" s="33"/>
      <c r="D19" s="33"/>
      <c r="E19" s="34"/>
    </row>
    <row r="20" spans="1:5" ht="15.75" thickBot="1" x14ac:dyDescent="0.3">
      <c r="A20" s="21" t="s">
        <v>33</v>
      </c>
      <c r="B20" s="32"/>
      <c r="C20" s="33"/>
      <c r="D20" s="33"/>
      <c r="E20" s="34"/>
    </row>
    <row r="21" spans="1:5" ht="15.75" thickBot="1" x14ac:dyDescent="0.3">
      <c r="A21" s="21" t="s">
        <v>35</v>
      </c>
      <c r="B21" s="32"/>
      <c r="C21" s="33"/>
      <c r="D21" s="33"/>
      <c r="E21" s="34"/>
    </row>
    <row r="22" spans="1:5" ht="15.75" thickBot="1" x14ac:dyDescent="0.3">
      <c r="A22" s="21" t="s">
        <v>36</v>
      </c>
      <c r="B22" s="41"/>
      <c r="C22" s="42"/>
      <c r="D22" s="42"/>
      <c r="E22" s="43"/>
    </row>
    <row r="23" spans="1:5" ht="15.75" hidden="1" thickBot="1" x14ac:dyDescent="0.3">
      <c r="A23" s="21" t="s">
        <v>138</v>
      </c>
      <c r="B23" s="32"/>
      <c r="C23" s="33"/>
      <c r="D23" s="33"/>
      <c r="E23" s="34"/>
    </row>
    <row r="24" spans="1:5" ht="15.75" hidden="1" thickBot="1" x14ac:dyDescent="0.3">
      <c r="A24" s="21" t="s">
        <v>139</v>
      </c>
      <c r="B24" s="32"/>
      <c r="C24" s="33"/>
      <c r="D24" s="33"/>
      <c r="E24" s="34"/>
    </row>
    <row r="25" spans="1:5" ht="15.75" hidden="1" thickBot="1" x14ac:dyDescent="0.3">
      <c r="A25" s="21" t="s">
        <v>140</v>
      </c>
      <c r="B25" s="32"/>
      <c r="C25" s="33"/>
      <c r="D25" s="33"/>
      <c r="E25" s="34"/>
    </row>
    <row r="26" spans="1:5" ht="15.75" hidden="1" thickBot="1" x14ac:dyDescent="0.3">
      <c r="A26" s="21" t="s">
        <v>141</v>
      </c>
      <c r="B26" s="41"/>
      <c r="C26" s="42"/>
      <c r="D26" s="42"/>
      <c r="E26" s="43"/>
    </row>
    <row r="27" spans="1:5" ht="15.75" hidden="1" thickBot="1" x14ac:dyDescent="0.3">
      <c r="A27" s="21" t="s">
        <v>142</v>
      </c>
      <c r="B27" s="32"/>
      <c r="C27" s="33"/>
      <c r="D27" s="33"/>
      <c r="E27" s="34"/>
    </row>
    <row r="28" spans="1:5" ht="15.75" hidden="1" thickBot="1" x14ac:dyDescent="0.3">
      <c r="A28" s="21" t="s">
        <v>143</v>
      </c>
      <c r="B28" s="32"/>
      <c r="C28" s="33"/>
      <c r="D28" s="33"/>
      <c r="E28" s="34"/>
    </row>
    <row r="29" spans="1:5" ht="15.75" hidden="1" thickBot="1" x14ac:dyDescent="0.3">
      <c r="A29" s="21" t="s">
        <v>144</v>
      </c>
      <c r="B29" s="32"/>
      <c r="C29" s="33"/>
      <c r="D29" s="33"/>
      <c r="E29" s="34"/>
    </row>
    <row r="30" spans="1:5" ht="15.75" hidden="1" thickBot="1" x14ac:dyDescent="0.3">
      <c r="A30" s="21" t="s">
        <v>145</v>
      </c>
      <c r="B30" s="41"/>
      <c r="C30" s="42"/>
      <c r="D30" s="42"/>
      <c r="E30" s="43"/>
    </row>
    <row r="31" spans="1:5" ht="15.75" hidden="1" thickBot="1" x14ac:dyDescent="0.3">
      <c r="A31" s="21" t="s">
        <v>146</v>
      </c>
      <c r="B31" s="32"/>
      <c r="C31" s="33"/>
      <c r="D31" s="33"/>
      <c r="E31" s="34"/>
    </row>
    <row r="32" spans="1:5" ht="15.75" hidden="1" thickBot="1" x14ac:dyDescent="0.3">
      <c r="A32" s="21" t="s">
        <v>147</v>
      </c>
      <c r="B32" s="32"/>
      <c r="C32" s="33"/>
      <c r="D32" s="33"/>
      <c r="E32" s="34"/>
    </row>
    <row r="33" spans="1:5" ht="15.75" hidden="1" thickBot="1" x14ac:dyDescent="0.3">
      <c r="A33" s="21" t="s">
        <v>148</v>
      </c>
      <c r="B33" s="32"/>
      <c r="C33" s="33"/>
      <c r="D33" s="33"/>
      <c r="E33" s="34"/>
    </row>
    <row r="34" spans="1:5" ht="15.75" hidden="1" thickBot="1" x14ac:dyDescent="0.3">
      <c r="A34" s="21" t="s">
        <v>149</v>
      </c>
      <c r="B34" s="41"/>
      <c r="C34" s="42"/>
      <c r="D34" s="42"/>
      <c r="E34" s="43"/>
    </row>
    <row r="35" spans="1:5" x14ac:dyDescent="0.25">
      <c r="A35" s="53"/>
      <c r="B35" s="53"/>
      <c r="C35" s="53"/>
    </row>
    <row r="36" spans="1:5" x14ac:dyDescent="0.25">
      <c r="A36" s="53"/>
      <c r="B36" s="53"/>
      <c r="C36" s="53"/>
    </row>
    <row r="37" spans="1:5" x14ac:dyDescent="0.25">
      <c r="A37" s="53"/>
      <c r="B37" s="53"/>
      <c r="C37" s="53"/>
    </row>
    <row r="38" spans="1:5" x14ac:dyDescent="0.25">
      <c r="A38" s="53"/>
      <c r="B38" s="53"/>
      <c r="C38" s="53"/>
    </row>
    <row r="39" spans="1:5" x14ac:dyDescent="0.25">
      <c r="A39" s="53"/>
      <c r="B39" s="53"/>
      <c r="C39" s="53"/>
    </row>
    <row r="40" spans="1:5" x14ac:dyDescent="0.25">
      <c r="A40" s="53"/>
      <c r="B40" s="53"/>
      <c r="C40" s="53"/>
    </row>
    <row r="41" spans="1:5" x14ac:dyDescent="0.25">
      <c r="A41" s="53"/>
      <c r="B41" s="53"/>
      <c r="C41" s="53"/>
    </row>
    <row r="42" spans="1:5" x14ac:dyDescent="0.25">
      <c r="A42" s="53"/>
      <c r="B42" s="53"/>
      <c r="C42" s="53"/>
    </row>
    <row r="43" spans="1:5" x14ac:dyDescent="0.25">
      <c r="A43" s="53"/>
      <c r="B43" s="53"/>
      <c r="C43" s="53"/>
    </row>
    <row r="44" spans="1:5" x14ac:dyDescent="0.25">
      <c r="A44" s="53"/>
      <c r="B44" s="53"/>
      <c r="C44" s="53"/>
    </row>
    <row r="45" spans="1:5" x14ac:dyDescent="0.25">
      <c r="A45" s="53"/>
      <c r="B45" s="53"/>
      <c r="C45" s="53"/>
    </row>
    <row r="46" spans="1:5" x14ac:dyDescent="0.25">
      <c r="A46" s="53"/>
      <c r="B46" s="53"/>
      <c r="C46" s="53"/>
    </row>
    <row r="47" spans="1:5" x14ac:dyDescent="0.25">
      <c r="A47" s="53"/>
      <c r="B47" s="53"/>
      <c r="C47" s="53"/>
    </row>
    <row r="48" spans="1:5" x14ac:dyDescent="0.25">
      <c r="A48" s="53"/>
      <c r="B48" s="53"/>
      <c r="C48" s="53"/>
    </row>
    <row r="49" spans="1:3" x14ac:dyDescent="0.25">
      <c r="A49" s="53"/>
      <c r="B49" s="53"/>
      <c r="C49" s="53"/>
    </row>
    <row r="50" spans="1:3" x14ac:dyDescent="0.25">
      <c r="A50" s="53"/>
      <c r="B50" s="53"/>
      <c r="C50" s="53"/>
    </row>
    <row r="51" spans="1:3" x14ac:dyDescent="0.25">
      <c r="A51" s="53"/>
      <c r="B51" s="53"/>
      <c r="C51" s="53"/>
    </row>
  </sheetData>
  <sheetProtection sheet="1" objects="1" scenarios="1" selectLockedCells="1" sort="0" autoFilter="0"/>
  <dataValidations count="16">
    <dataValidation type="whole" allowBlank="1" showInputMessage="1" showErrorMessage="1" sqref="B21:E21 B25:E25 B29:E29 B33:E33" xr:uid="{84281486-53F7-4B58-8AC8-7410EF4FB555}">
      <formula1>1</formula1>
      <formula2>9999</formula2>
    </dataValidation>
    <dataValidation type="list" allowBlank="1" showInputMessage="1" showErrorMessage="1" sqref="B7:E7" xr:uid="{E12FC75D-5170-4D7C-8CD0-95C914B72B6B}">
      <formula1>States</formula1>
    </dataValidation>
    <dataValidation type="custom" allowBlank="1" showInputMessage="1" showErrorMessage="1" sqref="E8" xr:uid="{1F0AF202-1672-4BF2-90F5-D4A61E901658}">
      <formula1>AND(IF(LEN($E$8)&gt;5,INT(LEFT($E$8,LEN($E$8)-5)),$E$8)&gt;=501,_xlfn.NUMBERVALUE(SUBSTITUTE($E$8,"-",""))&lt;=999999999)</formula1>
    </dataValidation>
    <dataValidation type="list" allowBlank="1" showInputMessage="1" showErrorMessage="1" errorTitle="Input Error" error="Please select an option from the dropdown list." sqref="B14:E14" xr:uid="{EF94DE9A-ABAA-465E-9A02-522A6A09E26A}">
      <formula1>Classification</formula1>
    </dataValidation>
    <dataValidation type="list" allowBlank="1" showInputMessage="1" showErrorMessage="1" sqref="C15:E15" xr:uid="{9DDAFD75-4A49-47A1-ACED-6632F8333776}">
      <formula1>ClassificationCaveats</formula1>
    </dataValidation>
    <dataValidation type="list" allowBlank="1" showInputMessage="1" showErrorMessage="1" errorTitle="Input Error" error="Please select an option from the dropdown list." sqref="B19:E19 B23:E23 B27:E27 B31:E31" xr:uid="{905FDF4C-8C0B-4E00-8F6A-9EB24D7F3D8D}">
      <formula1>StorageType</formula1>
    </dataValidation>
    <dataValidation type="list" allowBlank="1" showInputMessage="1" showErrorMessage="1" errorTitle="Input Error" error="Please select an option from the dropdown list." sqref="B20:E20 B24:E24 B28:E28 B32:E32" xr:uid="{8F3F8FFF-EB50-41E8-A4C1-3013B849CDD6}">
      <formula1>StorageScale</formula1>
    </dataValidation>
    <dataValidation type="custom" allowBlank="1" showInputMessage="1" showErrorMessage="1" sqref="B8" xr:uid="{44134CEB-552E-4BA6-AD36-33EB9B635E64}">
      <formula1>AND(IF(LEN($B$8)&gt;5,INT(LEFT($B$8,LEN($B$8)-5)),$B$8)&gt;=501,_xlfn.NUMBERVALUE(SUBSTITUTE($B$8,"-",""))&lt;=999999999)</formula1>
    </dataValidation>
    <dataValidation type="custom" allowBlank="1" showInputMessage="1" showErrorMessage="1" sqref="C8" xr:uid="{EF5576F4-338A-4B75-B940-BF7577AD1AD3}">
      <formula1>AND(IF(LEN($C$8)&gt;5,INT(LEFT($C$8,LEN($C$8)-5)),$C$8)&gt;=501,_xlfn.NUMBERVALUE(SUBSTITUTE($C$8,"-",""))&lt;=999999999)</formula1>
    </dataValidation>
    <dataValidation type="custom" allowBlank="1" showInputMessage="1" showErrorMessage="1" sqref="D8" xr:uid="{5790E0A8-BA2B-4FDC-90B0-F369DCF0F5EA}">
      <formula1>AND(IF(LEN($D$8)&gt;5,INT(LEFT($D$8,LEN($D$8)-5)),$D$8)&gt;=501,_xlfn.NUMBERVALUE(SUBSTITUTE($D$8,"-",""))&lt;=999999999)</formula1>
    </dataValidation>
    <dataValidation type="list" allowBlank="1" showInputMessage="1" sqref="B15" xr:uid="{FCCD6023-5E0F-46E0-A4EE-B91F70C98A9E}">
      <formula1>ClassificationCaveats</formula1>
    </dataValidation>
    <dataValidation type="list" allowBlank="1" showInputMessage="1" showErrorMessage="1" errorTitle="Input Error" error="Please select an option from the dropdown list." sqref="B9:E9" xr:uid="{A97FA503-684D-47E5-B0EA-79AA622D9BB4}">
      <formula1>PortionMark</formula1>
    </dataValidation>
    <dataValidation type="list" allowBlank="1" showInputMessage="1" showErrorMessage="1" errorTitle="Input Error" error="Please select an option from the dropdown list." sqref="B13:E13" xr:uid="{122773D2-8710-4F4D-AEF4-7E44EE07ABF5}">
      <formula1>ClassificationAge</formula1>
    </dataValidation>
    <dataValidation type="list" allowBlank="1" showInputMessage="1" showErrorMessage="1" errorTitle="Input Error" error="Please select an option from the dropdown list." sqref="B16:E16" xr:uid="{3F2C7EDA-97E4-4F52-B543-12CB5A10F49A}">
      <formula1>ClassificationReason</formula1>
    </dataValidation>
    <dataValidation type="date" operator="greaterThanOrEqual" allowBlank="1" showInputMessage="1" showErrorMessage="1" promptTitle="Expected Format" prompt="MM/DD/YYYY" sqref="B10" xr:uid="{BF2C493A-30DA-46F2-8DA3-FDBE85914E5E}">
      <formula1>1</formula1>
    </dataValidation>
    <dataValidation type="date" operator="greaterThanOrEqual" allowBlank="1" showInputMessage="1" showErrorMessage="1" promptTitle="Expected Format:" prompt="MM/DD/YYYY" sqref="C10:E10 B12:E12" xr:uid="{4BF10CFE-6292-4174-8435-DDB385D1239E}">
      <formula1>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ChkBx_Show_Label_1">
              <controlPr defaultSize="0" autoFill="0" autoLine="0" autoPict="0" macro="[0]!Show_Label_1" altText="Show Label 1">
                <anchor moveWithCells="1">
                  <from>
                    <xdr:col>1</xdr:col>
                    <xdr:colOff>581025</xdr:colOff>
                    <xdr:row>0</xdr:row>
                    <xdr:rowOff>19050</xdr:rowOff>
                  </from>
                  <to>
                    <xdr:col>1</xdr:col>
                    <xdr:colOff>1809750</xdr:colOff>
                    <xdr:row>0</xdr:row>
                    <xdr:rowOff>180975</xdr:rowOff>
                  </to>
                </anchor>
              </controlPr>
            </control>
          </mc:Choice>
        </mc:AlternateContent>
        <mc:AlternateContent xmlns:mc="http://schemas.openxmlformats.org/markup-compatibility/2006">
          <mc:Choice Requires="x14">
            <control shapeId="1044" r:id="rId5" name="ChkBx_Show_Label_2">
              <controlPr defaultSize="0" autoFill="0" autoLine="0" autoPict="0" macro="[0]!Show_Label_2" altText="Show Label 2">
                <anchor moveWithCells="1">
                  <from>
                    <xdr:col>2</xdr:col>
                    <xdr:colOff>581025</xdr:colOff>
                    <xdr:row>0</xdr:row>
                    <xdr:rowOff>19050</xdr:rowOff>
                  </from>
                  <to>
                    <xdr:col>2</xdr:col>
                    <xdr:colOff>1809750</xdr:colOff>
                    <xdr:row>0</xdr:row>
                    <xdr:rowOff>180975</xdr:rowOff>
                  </to>
                </anchor>
              </controlPr>
            </control>
          </mc:Choice>
        </mc:AlternateContent>
        <mc:AlternateContent xmlns:mc="http://schemas.openxmlformats.org/markup-compatibility/2006">
          <mc:Choice Requires="x14">
            <control shapeId="1045" r:id="rId6" name="ChkBx_Show_Label_3">
              <controlPr defaultSize="0" autoFill="0" autoLine="0" autoPict="0" macro="[0]!Show_Label_3" altText="Show Label 3">
                <anchor moveWithCells="1">
                  <from>
                    <xdr:col>3</xdr:col>
                    <xdr:colOff>581025</xdr:colOff>
                    <xdr:row>0</xdr:row>
                    <xdr:rowOff>19050</xdr:rowOff>
                  </from>
                  <to>
                    <xdr:col>3</xdr:col>
                    <xdr:colOff>1809750</xdr:colOff>
                    <xdr:row>0</xdr:row>
                    <xdr:rowOff>180975</xdr:rowOff>
                  </to>
                </anchor>
              </controlPr>
            </control>
          </mc:Choice>
        </mc:AlternateContent>
        <mc:AlternateContent xmlns:mc="http://schemas.openxmlformats.org/markup-compatibility/2006">
          <mc:Choice Requires="x14">
            <control shapeId="1046" r:id="rId7" name="ChkBx_Show_Label_4">
              <controlPr defaultSize="0" autoFill="0" autoLine="0" autoPict="0" macro="[0]!Show_Label_4" altText="Show Label 4">
                <anchor moveWithCells="1">
                  <from>
                    <xdr:col>4</xdr:col>
                    <xdr:colOff>581025</xdr:colOff>
                    <xdr:row>0</xdr:row>
                    <xdr:rowOff>19050</xdr:rowOff>
                  </from>
                  <to>
                    <xdr:col>4</xdr:col>
                    <xdr:colOff>1809750</xdr:colOff>
                    <xdr:row>0</xdr:row>
                    <xdr:rowOff>180975</xdr:rowOff>
                  </to>
                </anchor>
              </controlPr>
            </control>
          </mc:Choice>
        </mc:AlternateContent>
        <mc:AlternateContent xmlns:mc="http://schemas.openxmlformats.org/markup-compatibility/2006">
          <mc:Choice Requires="x14">
            <control shapeId="1069" r:id="rId8" name="ChkBx_Show_2nd_Storage_Label">
              <controlPr defaultSize="0" autoFill="0" autoLine="0" autoPict="0" macro="[0]!Show_2nd_Storage_Label" altText="Show 2nd Storage Label">
                <anchor moveWithCells="1">
                  <from>
                    <xdr:col>5</xdr:col>
                    <xdr:colOff>304800</xdr:colOff>
                    <xdr:row>1</xdr:row>
                    <xdr:rowOff>76200</xdr:rowOff>
                  </from>
                  <to>
                    <xdr:col>8</xdr:col>
                    <xdr:colOff>76200</xdr:colOff>
                    <xdr:row>2</xdr:row>
                    <xdr:rowOff>95250</xdr:rowOff>
                  </to>
                </anchor>
              </controlPr>
            </control>
          </mc:Choice>
        </mc:AlternateContent>
        <mc:AlternateContent xmlns:mc="http://schemas.openxmlformats.org/markup-compatibility/2006">
          <mc:Choice Requires="x14">
            <control shapeId="1070" r:id="rId9" name="ChkBx_Show_3rd_Storage_Label">
              <controlPr defaultSize="0" autoFill="0" autoLine="0" autoPict="0" macro="[0]!Show_3rd_Storage_Label" altText="Show 3rd Storage Label">
                <anchor moveWithCells="1">
                  <from>
                    <xdr:col>5</xdr:col>
                    <xdr:colOff>304800</xdr:colOff>
                    <xdr:row>2</xdr:row>
                    <xdr:rowOff>123825</xdr:rowOff>
                  </from>
                  <to>
                    <xdr:col>8</xdr:col>
                    <xdr:colOff>76200</xdr:colOff>
                    <xdr:row>3</xdr:row>
                    <xdr:rowOff>142875</xdr:rowOff>
                  </to>
                </anchor>
              </controlPr>
            </control>
          </mc:Choice>
        </mc:AlternateContent>
        <mc:AlternateContent xmlns:mc="http://schemas.openxmlformats.org/markup-compatibility/2006">
          <mc:Choice Requires="x14">
            <control shapeId="1071" r:id="rId10" name="ChkBx_Show_4th_Storage_Label">
              <controlPr defaultSize="0" autoFill="0" autoLine="0" autoPict="0" macro="[0]!Show_4th_Storage_Label" altText="Show 4th Storage Label">
                <anchor moveWithCells="1">
                  <from>
                    <xdr:col>5</xdr:col>
                    <xdr:colOff>304800</xdr:colOff>
                    <xdr:row>3</xdr:row>
                    <xdr:rowOff>171450</xdr:rowOff>
                  </from>
                  <to>
                    <xdr:col>8</xdr:col>
                    <xdr:colOff>76200</xdr:colOff>
                    <xdr:row>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DG52"/>
  <sheetViews>
    <sheetView zoomScaleNormal="100" workbookViewId="0">
      <selection activeCell="G1" sqref="G1"/>
    </sheetView>
  </sheetViews>
  <sheetFormatPr defaultRowHeight="14.25" x14ac:dyDescent="0.2"/>
  <cols>
    <col min="1" max="3" width="5.7109375" style="22" customWidth="1"/>
    <col min="4" max="4" width="3.7109375" style="22" customWidth="1"/>
    <col min="5" max="5" width="8.7109375" style="22" customWidth="1"/>
    <col min="6" max="6" width="5.7109375" style="22" customWidth="1"/>
    <col min="7" max="7" width="1.7109375" style="22" hidden="1" customWidth="1"/>
    <col min="8" max="10" width="5.7109375" style="22" hidden="1" customWidth="1"/>
    <col min="11" max="11" width="3.7109375" style="22" hidden="1" customWidth="1"/>
    <col min="12" max="12" width="8.7109375" style="22" hidden="1" customWidth="1"/>
    <col min="13" max="13" width="5.7109375" style="22" hidden="1" customWidth="1"/>
    <col min="14" max="14" width="1.7109375" style="22" hidden="1" customWidth="1"/>
    <col min="15" max="17" width="5.7109375" style="22" hidden="1" customWidth="1"/>
    <col min="18" max="18" width="3.7109375" style="22" hidden="1" customWidth="1"/>
    <col min="19" max="19" width="8.7109375" style="22" hidden="1" customWidth="1"/>
    <col min="20" max="20" width="5.7109375" style="22" hidden="1" customWidth="1"/>
    <col min="21" max="21" width="1.7109375" style="22" hidden="1" customWidth="1"/>
    <col min="22" max="24" width="5.7109375" style="22" hidden="1" customWidth="1"/>
    <col min="25" max="25" width="3.7109375" style="22" hidden="1" customWidth="1"/>
    <col min="26" max="26" width="8.7109375" style="22" hidden="1" customWidth="1"/>
    <col min="27" max="27" width="5.7109375" style="22" hidden="1" customWidth="1"/>
    <col min="28" max="28" width="1.7109375" style="22" customWidth="1"/>
    <col min="29" max="31" width="5.7109375" style="22" customWidth="1"/>
    <col min="32" max="32" width="3.7109375" style="22" customWidth="1"/>
    <col min="33" max="33" width="8.7109375" style="22" customWidth="1"/>
    <col min="34" max="34" width="5.7109375" style="22" customWidth="1"/>
    <col min="35" max="35" width="1.7109375" style="22" hidden="1" customWidth="1"/>
    <col min="36" max="38" width="5.7109375" style="22" hidden="1" customWidth="1"/>
    <col min="39" max="39" width="3.7109375" style="22" hidden="1" customWidth="1"/>
    <col min="40" max="40" width="8.7109375" style="22" hidden="1" customWidth="1"/>
    <col min="41" max="41" width="5.7109375" style="22" hidden="1" customWidth="1"/>
    <col min="42" max="42" width="1.7109375" style="22" hidden="1" customWidth="1"/>
    <col min="43" max="45" width="5.7109375" style="22" hidden="1" customWidth="1"/>
    <col min="46" max="46" width="3.7109375" style="22" hidden="1" customWidth="1"/>
    <col min="47" max="47" width="8.7109375" style="22" hidden="1" customWidth="1"/>
    <col min="48" max="48" width="5.7109375" style="22" hidden="1" customWidth="1"/>
    <col min="49" max="49" width="1.7109375" style="22" hidden="1" customWidth="1"/>
    <col min="50" max="52" width="5.7109375" style="22" hidden="1" customWidth="1"/>
    <col min="53" max="53" width="3.7109375" style="22" hidden="1" customWidth="1"/>
    <col min="54" max="54" width="8.7109375" style="22" hidden="1" customWidth="1"/>
    <col min="55" max="55" width="5.7109375" style="22" hidden="1" customWidth="1"/>
    <col min="56" max="56" width="1.7109375" style="22" customWidth="1"/>
    <col min="57" max="59" width="5.7109375" style="22" customWidth="1"/>
    <col min="60" max="60" width="3.7109375" style="22" customWidth="1"/>
    <col min="61" max="61" width="8.7109375" style="22" customWidth="1"/>
    <col min="62" max="62" width="5.7109375" style="22" customWidth="1"/>
    <col min="63" max="63" width="1.7109375" style="22" hidden="1" customWidth="1"/>
    <col min="64" max="66" width="5.7109375" style="22" hidden="1" customWidth="1"/>
    <col min="67" max="67" width="3.7109375" style="22" hidden="1" customWidth="1"/>
    <col min="68" max="68" width="8.7109375" style="22" hidden="1" customWidth="1"/>
    <col min="69" max="69" width="5.7109375" style="22" hidden="1" customWidth="1"/>
    <col min="70" max="70" width="1.7109375" style="22" hidden="1" customWidth="1"/>
    <col min="71" max="73" width="5.7109375" style="22" hidden="1" customWidth="1"/>
    <col min="74" max="74" width="3.7109375" style="22" hidden="1" customWidth="1"/>
    <col min="75" max="75" width="8.7109375" style="22" hidden="1" customWidth="1"/>
    <col min="76" max="76" width="5.7109375" style="22" hidden="1" customWidth="1"/>
    <col min="77" max="77" width="1.7109375" style="22" hidden="1" customWidth="1"/>
    <col min="78" max="80" width="5.7109375" style="22" hidden="1" customWidth="1"/>
    <col min="81" max="81" width="3.7109375" style="22" hidden="1" customWidth="1"/>
    <col min="82" max="82" width="8.7109375" style="22" hidden="1" customWidth="1"/>
    <col min="83" max="83" width="5.7109375" style="22" hidden="1" customWidth="1"/>
    <col min="84" max="84" width="1.7109375" style="22" customWidth="1"/>
    <col min="85" max="87" width="5.7109375" style="22" customWidth="1"/>
    <col min="88" max="88" width="3.7109375" style="22" customWidth="1"/>
    <col min="89" max="89" width="8.7109375" style="22" customWidth="1"/>
    <col min="90" max="90" width="5.7109375" style="22" customWidth="1"/>
    <col min="91" max="91" width="1.7109375" style="22" hidden="1" customWidth="1"/>
    <col min="92" max="94" width="5.7109375" style="22" hidden="1" customWidth="1"/>
    <col min="95" max="95" width="3.7109375" style="22" hidden="1" customWidth="1"/>
    <col min="96" max="96" width="8.7109375" style="22" hidden="1" customWidth="1"/>
    <col min="97" max="97" width="5.7109375" style="22" hidden="1" customWidth="1"/>
    <col min="98" max="98" width="1.7109375" style="22" hidden="1" customWidth="1"/>
    <col min="99" max="101" width="5.7109375" style="22" hidden="1" customWidth="1"/>
    <col min="102" max="102" width="3.7109375" style="22" hidden="1" customWidth="1"/>
    <col min="103" max="103" width="8.7109375" style="22" hidden="1" customWidth="1"/>
    <col min="104" max="104" width="5.7109375" style="22" hidden="1" customWidth="1"/>
    <col min="105" max="105" width="1.7109375" style="22" hidden="1" customWidth="1"/>
    <col min="106" max="108" width="5.7109375" style="22" hidden="1" customWidth="1"/>
    <col min="109" max="109" width="3.7109375" style="22" hidden="1" customWidth="1"/>
    <col min="110" max="110" width="8.7109375" style="22" hidden="1" customWidth="1"/>
    <col min="111" max="111" width="5.7109375" style="22" hidden="1" customWidth="1"/>
    <col min="112" max="16384" width="9.140625" style="22"/>
  </cols>
  <sheetData>
    <row r="1" spans="1:111" ht="30" customHeight="1" thickBot="1" x14ac:dyDescent="0.25">
      <c r="A1" s="129" t="str">
        <f>UPPER(TRIM(Values!$B$2))</f>
        <v/>
      </c>
      <c r="B1" s="130"/>
      <c r="C1" s="130"/>
      <c r="D1" s="130"/>
      <c r="E1" s="130"/>
      <c r="F1" s="131"/>
      <c r="H1" s="127"/>
      <c r="I1" s="127"/>
      <c r="J1" s="127"/>
      <c r="K1" s="127"/>
      <c r="L1" s="127"/>
      <c r="M1" s="127"/>
      <c r="O1" s="127"/>
      <c r="P1" s="127"/>
      <c r="Q1" s="127"/>
      <c r="R1" s="127"/>
      <c r="S1" s="127"/>
      <c r="T1" s="127"/>
      <c r="V1" s="127"/>
      <c r="W1" s="127"/>
      <c r="X1" s="127"/>
      <c r="Y1" s="127"/>
      <c r="Z1" s="127"/>
      <c r="AA1" s="127"/>
      <c r="AC1" s="129" t="str">
        <f>UPPER(TRIM(Values!$C$2))</f>
        <v/>
      </c>
      <c r="AD1" s="130"/>
      <c r="AE1" s="130"/>
      <c r="AF1" s="130"/>
      <c r="AG1" s="130"/>
      <c r="AH1" s="131"/>
      <c r="AJ1" s="127"/>
      <c r="AK1" s="127"/>
      <c r="AL1" s="127"/>
      <c r="AM1" s="127"/>
      <c r="AN1" s="127"/>
      <c r="AO1" s="127"/>
      <c r="AQ1" s="127"/>
      <c r="AR1" s="127"/>
      <c r="AS1" s="127"/>
      <c r="AT1" s="127"/>
      <c r="AU1" s="127"/>
      <c r="AV1" s="127"/>
      <c r="AX1" s="127"/>
      <c r="AY1" s="127"/>
      <c r="AZ1" s="127"/>
      <c r="BA1" s="127"/>
      <c r="BB1" s="127"/>
      <c r="BC1" s="127"/>
      <c r="BE1" s="129" t="str">
        <f>UPPER(TRIM(Values!$D$2))</f>
        <v/>
      </c>
      <c r="BF1" s="130"/>
      <c r="BG1" s="130"/>
      <c r="BH1" s="130"/>
      <c r="BI1" s="130"/>
      <c r="BJ1" s="131"/>
      <c r="BL1" s="127"/>
      <c r="BM1" s="127"/>
      <c r="BN1" s="127"/>
      <c r="BO1" s="127"/>
      <c r="BP1" s="127"/>
      <c r="BQ1" s="127"/>
      <c r="BS1" s="127"/>
      <c r="BT1" s="127"/>
      <c r="BU1" s="127"/>
      <c r="BV1" s="127"/>
      <c r="BW1" s="127"/>
      <c r="BX1" s="127"/>
      <c r="BZ1" s="127"/>
      <c r="CA1" s="127"/>
      <c r="CB1" s="127"/>
      <c r="CC1" s="127"/>
      <c r="CD1" s="127"/>
      <c r="CE1" s="127"/>
      <c r="CG1" s="129" t="str">
        <f>UPPER(TRIM(Values!$E$2))</f>
        <v/>
      </c>
      <c r="CH1" s="130"/>
      <c r="CI1" s="130"/>
      <c r="CJ1" s="130"/>
      <c r="CK1" s="130"/>
      <c r="CL1" s="131"/>
      <c r="CN1" s="127"/>
      <c r="CO1" s="127"/>
      <c r="CP1" s="127"/>
      <c r="CQ1" s="127"/>
      <c r="CR1" s="127"/>
      <c r="CS1" s="127"/>
      <c r="CU1" s="127"/>
      <c r="CV1" s="127"/>
      <c r="CW1" s="127"/>
      <c r="CX1" s="127"/>
      <c r="CY1" s="127"/>
      <c r="CZ1" s="127"/>
      <c r="DB1" s="127"/>
      <c r="DC1" s="127"/>
      <c r="DD1" s="127"/>
      <c r="DE1" s="127"/>
      <c r="DF1" s="127"/>
      <c r="DG1" s="127"/>
    </row>
    <row r="2" spans="1:111" ht="3" customHeight="1" x14ac:dyDescent="0.2">
      <c r="A2" s="133"/>
      <c r="B2" s="133"/>
      <c r="C2" s="133"/>
      <c r="D2" s="133"/>
      <c r="E2" s="133"/>
      <c r="F2" s="133"/>
      <c r="H2" s="135"/>
      <c r="I2" s="135"/>
      <c r="J2" s="135"/>
      <c r="K2" s="135"/>
      <c r="L2" s="135"/>
      <c r="M2" s="135"/>
      <c r="O2" s="135"/>
      <c r="P2" s="135"/>
      <c r="Q2" s="135"/>
      <c r="R2" s="135"/>
      <c r="S2" s="135"/>
      <c r="T2" s="135"/>
      <c r="V2" s="135"/>
      <c r="W2" s="135"/>
      <c r="X2" s="135"/>
      <c r="Y2" s="135"/>
      <c r="Z2" s="135"/>
      <c r="AA2" s="135"/>
      <c r="AC2" s="133"/>
      <c r="AD2" s="133"/>
      <c r="AE2" s="133"/>
      <c r="AF2" s="133"/>
      <c r="AG2" s="133"/>
      <c r="AH2" s="133"/>
      <c r="AJ2" s="135"/>
      <c r="AK2" s="135"/>
      <c r="AL2" s="135"/>
      <c r="AM2" s="135"/>
      <c r="AN2" s="135"/>
      <c r="AO2" s="135"/>
      <c r="AQ2" s="135"/>
      <c r="AR2" s="135"/>
      <c r="AS2" s="135"/>
      <c r="AT2" s="135"/>
      <c r="AU2" s="135"/>
      <c r="AV2" s="135"/>
      <c r="AX2" s="135"/>
      <c r="AY2" s="135"/>
      <c r="AZ2" s="135"/>
      <c r="BA2" s="135"/>
      <c r="BB2" s="135"/>
      <c r="BC2" s="135"/>
      <c r="BE2" s="133"/>
      <c r="BF2" s="133"/>
      <c r="BG2" s="133"/>
      <c r="BH2" s="133"/>
      <c r="BI2" s="133"/>
      <c r="BJ2" s="133"/>
      <c r="BL2" s="135"/>
      <c r="BM2" s="135"/>
      <c r="BN2" s="135"/>
      <c r="BO2" s="135"/>
      <c r="BP2" s="135"/>
      <c r="BQ2" s="135"/>
      <c r="BS2" s="135"/>
      <c r="BT2" s="135"/>
      <c r="BU2" s="135"/>
      <c r="BV2" s="135"/>
      <c r="BW2" s="135"/>
      <c r="BX2" s="135"/>
      <c r="BZ2" s="135"/>
      <c r="CA2" s="135"/>
      <c r="CB2" s="135"/>
      <c r="CC2" s="135"/>
      <c r="CD2" s="135"/>
      <c r="CE2" s="135"/>
      <c r="CG2" s="133"/>
      <c r="CH2" s="133"/>
      <c r="CI2" s="133"/>
      <c r="CJ2" s="133"/>
      <c r="CK2" s="133"/>
      <c r="CL2" s="133"/>
      <c r="CN2" s="135"/>
      <c r="CO2" s="135"/>
      <c r="CP2" s="135"/>
      <c r="CQ2" s="135"/>
      <c r="CR2" s="135"/>
      <c r="CS2" s="135"/>
      <c r="CU2" s="135"/>
      <c r="CV2" s="135"/>
      <c r="CW2" s="135"/>
      <c r="CX2" s="135"/>
      <c r="CY2" s="135"/>
      <c r="CZ2" s="135"/>
      <c r="DB2" s="135"/>
      <c r="DC2" s="135"/>
      <c r="DD2" s="135"/>
      <c r="DE2" s="135"/>
      <c r="DF2" s="135"/>
      <c r="DG2" s="135"/>
    </row>
    <row r="3" spans="1:111" ht="3" customHeight="1" thickBot="1" x14ac:dyDescent="0.25">
      <c r="A3" s="142"/>
      <c r="B3" s="142"/>
      <c r="C3" s="142"/>
      <c r="D3" s="142"/>
      <c r="E3" s="142"/>
      <c r="F3" s="142"/>
      <c r="H3" s="135"/>
      <c r="I3" s="135"/>
      <c r="J3" s="135"/>
      <c r="K3" s="135"/>
      <c r="L3" s="135"/>
      <c r="M3" s="135"/>
      <c r="O3" s="135"/>
      <c r="P3" s="135"/>
      <c r="Q3" s="135"/>
      <c r="R3" s="135"/>
      <c r="S3" s="135"/>
      <c r="T3" s="135"/>
      <c r="V3" s="135"/>
      <c r="W3" s="135"/>
      <c r="X3" s="135"/>
      <c r="Y3" s="135"/>
      <c r="Z3" s="135"/>
      <c r="AA3" s="135"/>
      <c r="AC3" s="142"/>
      <c r="AD3" s="142"/>
      <c r="AE3" s="142"/>
      <c r="AF3" s="142"/>
      <c r="AG3" s="142"/>
      <c r="AH3" s="142"/>
      <c r="AJ3" s="135"/>
      <c r="AK3" s="135"/>
      <c r="AL3" s="135"/>
      <c r="AM3" s="135"/>
      <c r="AN3" s="135"/>
      <c r="AO3" s="135"/>
      <c r="AQ3" s="135"/>
      <c r="AR3" s="135"/>
      <c r="AS3" s="135"/>
      <c r="AT3" s="135"/>
      <c r="AU3" s="135"/>
      <c r="AV3" s="135"/>
      <c r="AX3" s="135"/>
      <c r="AY3" s="135"/>
      <c r="AZ3" s="135"/>
      <c r="BA3" s="135"/>
      <c r="BB3" s="135"/>
      <c r="BC3" s="135"/>
      <c r="BE3" s="142"/>
      <c r="BF3" s="142"/>
      <c r="BG3" s="142"/>
      <c r="BH3" s="142"/>
      <c r="BI3" s="142"/>
      <c r="BJ3" s="142"/>
      <c r="BL3" s="135"/>
      <c r="BM3" s="135"/>
      <c r="BN3" s="135"/>
      <c r="BO3" s="135"/>
      <c r="BP3" s="135"/>
      <c r="BQ3" s="135"/>
      <c r="BS3" s="135"/>
      <c r="BT3" s="135"/>
      <c r="BU3" s="135"/>
      <c r="BV3" s="135"/>
      <c r="BW3" s="135"/>
      <c r="BX3" s="135"/>
      <c r="BZ3" s="135"/>
      <c r="CA3" s="135"/>
      <c r="CB3" s="135"/>
      <c r="CC3" s="135"/>
      <c r="CD3" s="135"/>
      <c r="CE3" s="135"/>
      <c r="CG3" s="142"/>
      <c r="CH3" s="142"/>
      <c r="CI3" s="142"/>
      <c r="CJ3" s="142"/>
      <c r="CK3" s="142"/>
      <c r="CL3" s="142"/>
      <c r="CN3" s="135"/>
      <c r="CO3" s="135"/>
      <c r="CP3" s="135"/>
      <c r="CQ3" s="135"/>
      <c r="CR3" s="135"/>
      <c r="CS3" s="135"/>
      <c r="CU3" s="135"/>
      <c r="CV3" s="135"/>
      <c r="CW3" s="135"/>
      <c r="CX3" s="135"/>
      <c r="CY3" s="135"/>
      <c r="CZ3" s="135"/>
      <c r="DB3" s="135"/>
      <c r="DC3" s="135"/>
      <c r="DD3" s="135"/>
      <c r="DE3" s="135"/>
      <c r="DF3" s="135"/>
      <c r="DG3" s="135"/>
    </row>
    <row r="4" spans="1:111" ht="13.5" customHeight="1" x14ac:dyDescent="0.25">
      <c r="A4" s="143" t="str">
        <f>UPPER(TRIM(Values!$B$2))</f>
        <v/>
      </c>
      <c r="B4" s="144"/>
      <c r="C4" s="144"/>
      <c r="D4" s="144"/>
      <c r="E4" s="144"/>
      <c r="F4" s="145"/>
      <c r="H4" s="146"/>
      <c r="I4" s="147"/>
      <c r="J4" s="147"/>
      <c r="K4" s="147"/>
      <c r="L4" s="147"/>
      <c r="M4" s="147"/>
      <c r="O4" s="146"/>
      <c r="P4" s="147"/>
      <c r="Q4" s="147"/>
      <c r="R4" s="147"/>
      <c r="S4" s="147"/>
      <c r="T4" s="147"/>
      <c r="V4" s="146"/>
      <c r="W4" s="147"/>
      <c r="X4" s="147"/>
      <c r="Y4" s="147"/>
      <c r="Z4" s="147"/>
      <c r="AA4" s="147"/>
      <c r="AC4" s="143" t="str">
        <f>UPPER(TRIM(Values!$C$2))</f>
        <v/>
      </c>
      <c r="AD4" s="144"/>
      <c r="AE4" s="144"/>
      <c r="AF4" s="144"/>
      <c r="AG4" s="144"/>
      <c r="AH4" s="145"/>
      <c r="AJ4" s="146"/>
      <c r="AK4" s="147"/>
      <c r="AL4" s="147"/>
      <c r="AM4" s="147"/>
      <c r="AN4" s="147"/>
      <c r="AO4" s="147"/>
      <c r="AQ4" s="146"/>
      <c r="AR4" s="147"/>
      <c r="AS4" s="147"/>
      <c r="AT4" s="147"/>
      <c r="AU4" s="147"/>
      <c r="AV4" s="147"/>
      <c r="AX4" s="146"/>
      <c r="AY4" s="147"/>
      <c r="AZ4" s="147"/>
      <c r="BA4" s="147"/>
      <c r="BB4" s="147"/>
      <c r="BC4" s="147"/>
      <c r="BE4" s="143" t="str">
        <f>UPPER(TRIM(Values!$D$2))</f>
        <v/>
      </c>
      <c r="BF4" s="144"/>
      <c r="BG4" s="144"/>
      <c r="BH4" s="144"/>
      <c r="BI4" s="144"/>
      <c r="BJ4" s="145"/>
      <c r="BL4" s="146"/>
      <c r="BM4" s="147"/>
      <c r="BN4" s="147"/>
      <c r="BO4" s="147"/>
      <c r="BP4" s="147"/>
      <c r="BQ4" s="147"/>
      <c r="BS4" s="146"/>
      <c r="BT4" s="147"/>
      <c r="BU4" s="147"/>
      <c r="BV4" s="147"/>
      <c r="BW4" s="147"/>
      <c r="BX4" s="147"/>
      <c r="BZ4" s="146"/>
      <c r="CA4" s="147"/>
      <c r="CB4" s="147"/>
      <c r="CC4" s="147"/>
      <c r="CD4" s="147"/>
      <c r="CE4" s="147"/>
      <c r="CG4" s="143" t="str">
        <f>UPPER(TRIM(Values!$E$2))</f>
        <v/>
      </c>
      <c r="CH4" s="144"/>
      <c r="CI4" s="144"/>
      <c r="CJ4" s="144"/>
      <c r="CK4" s="144"/>
      <c r="CL4" s="145"/>
      <c r="CN4" s="146"/>
      <c r="CO4" s="147"/>
      <c r="CP4" s="147"/>
      <c r="CQ4" s="147"/>
      <c r="CR4" s="147"/>
      <c r="CS4" s="147"/>
      <c r="CU4" s="146"/>
      <c r="CV4" s="147"/>
      <c r="CW4" s="147"/>
      <c r="CX4" s="147"/>
      <c r="CY4" s="147"/>
      <c r="CZ4" s="147"/>
      <c r="DB4" s="146"/>
      <c r="DC4" s="147"/>
      <c r="DD4" s="147"/>
      <c r="DE4" s="147"/>
      <c r="DF4" s="147"/>
      <c r="DG4" s="147"/>
    </row>
    <row r="5" spans="1:111" ht="24.95" customHeight="1" thickBot="1" x14ac:dyDescent="0.25">
      <c r="A5" s="138" t="str">
        <f>IF(ISBLANK(Values!$B$2),"",CONCATENATE("*",Values!$B$2,"*"))</f>
        <v/>
      </c>
      <c r="B5" s="139"/>
      <c r="C5" s="139"/>
      <c r="D5" s="139"/>
      <c r="E5" s="139"/>
      <c r="F5" s="140"/>
      <c r="H5" s="141"/>
      <c r="I5" s="141"/>
      <c r="J5" s="141"/>
      <c r="K5" s="141"/>
      <c r="L5" s="141"/>
      <c r="M5" s="141"/>
      <c r="O5" s="141"/>
      <c r="P5" s="141"/>
      <c r="Q5" s="141"/>
      <c r="R5" s="141"/>
      <c r="S5" s="141"/>
      <c r="T5" s="141"/>
      <c r="V5" s="141"/>
      <c r="W5" s="141"/>
      <c r="X5" s="141"/>
      <c r="Y5" s="141"/>
      <c r="Z5" s="141"/>
      <c r="AA5" s="141"/>
      <c r="AC5" s="138" t="str">
        <f>IF(ISBLANK(Values!$C$2),"",CONCATENATE("*",Values!$C$2,"*"))</f>
        <v/>
      </c>
      <c r="AD5" s="139"/>
      <c r="AE5" s="139"/>
      <c r="AF5" s="139"/>
      <c r="AG5" s="139"/>
      <c r="AH5" s="140"/>
      <c r="AJ5" s="141"/>
      <c r="AK5" s="141"/>
      <c r="AL5" s="141"/>
      <c r="AM5" s="141"/>
      <c r="AN5" s="141"/>
      <c r="AO5" s="141"/>
      <c r="AQ5" s="141"/>
      <c r="AR5" s="141"/>
      <c r="AS5" s="141"/>
      <c r="AT5" s="141"/>
      <c r="AU5" s="141"/>
      <c r="AV5" s="141"/>
      <c r="AX5" s="141"/>
      <c r="AY5" s="141"/>
      <c r="AZ5" s="141"/>
      <c r="BA5" s="141"/>
      <c r="BB5" s="141"/>
      <c r="BC5" s="141"/>
      <c r="BE5" s="138" t="str">
        <f>IF(ISBLANK(Values!$D$2),"",CONCATENATE("*",Values!$D$2,"*"))</f>
        <v/>
      </c>
      <c r="BF5" s="139"/>
      <c r="BG5" s="139"/>
      <c r="BH5" s="139"/>
      <c r="BI5" s="139"/>
      <c r="BJ5" s="140"/>
      <c r="BL5" s="141"/>
      <c r="BM5" s="141"/>
      <c r="BN5" s="141"/>
      <c r="BO5" s="141"/>
      <c r="BP5" s="141"/>
      <c r="BQ5" s="141"/>
      <c r="BS5" s="141"/>
      <c r="BT5" s="141"/>
      <c r="BU5" s="141"/>
      <c r="BV5" s="141"/>
      <c r="BW5" s="141"/>
      <c r="BX5" s="141"/>
      <c r="BZ5" s="141"/>
      <c r="CA5" s="141"/>
      <c r="CB5" s="141"/>
      <c r="CC5" s="141"/>
      <c r="CD5" s="141"/>
      <c r="CE5" s="141"/>
      <c r="CG5" s="138" t="str">
        <f>IF(ISBLANK(Values!$E$2),"",CONCATENATE("*",Values!$E$2,"*"))</f>
        <v/>
      </c>
      <c r="CH5" s="139"/>
      <c r="CI5" s="139"/>
      <c r="CJ5" s="139"/>
      <c r="CK5" s="139"/>
      <c r="CL5" s="140"/>
      <c r="CN5" s="141"/>
      <c r="CO5" s="141"/>
      <c r="CP5" s="141"/>
      <c r="CQ5" s="141"/>
      <c r="CR5" s="141"/>
      <c r="CS5" s="141"/>
      <c r="CU5" s="141"/>
      <c r="CV5" s="141"/>
      <c r="CW5" s="141"/>
      <c r="CX5" s="141"/>
      <c r="CY5" s="141"/>
      <c r="CZ5" s="141"/>
      <c r="DB5" s="141"/>
      <c r="DC5" s="141"/>
      <c r="DD5" s="141"/>
      <c r="DE5" s="141"/>
      <c r="DF5" s="141"/>
      <c r="DG5" s="141"/>
    </row>
    <row r="6" spans="1:111" ht="3" customHeight="1" x14ac:dyDescent="0.2">
      <c r="A6" s="133"/>
      <c r="B6" s="133"/>
      <c r="C6" s="133"/>
      <c r="D6" s="133"/>
      <c r="E6" s="133"/>
      <c r="F6" s="133"/>
      <c r="H6" s="135"/>
      <c r="I6" s="135"/>
      <c r="J6" s="135"/>
      <c r="K6" s="135"/>
      <c r="L6" s="135"/>
      <c r="M6" s="135"/>
      <c r="O6" s="135"/>
      <c r="P6" s="135"/>
      <c r="Q6" s="135"/>
      <c r="R6" s="135"/>
      <c r="S6" s="135"/>
      <c r="T6" s="135"/>
      <c r="V6" s="135"/>
      <c r="W6" s="135"/>
      <c r="X6" s="135"/>
      <c r="Y6" s="135"/>
      <c r="Z6" s="135"/>
      <c r="AA6" s="135"/>
      <c r="AC6" s="133"/>
      <c r="AD6" s="133"/>
      <c r="AE6" s="133"/>
      <c r="AF6" s="133"/>
      <c r="AG6" s="133"/>
      <c r="AH6" s="133"/>
      <c r="AJ6" s="135"/>
      <c r="AK6" s="135"/>
      <c r="AL6" s="135"/>
      <c r="AM6" s="135"/>
      <c r="AN6" s="135"/>
      <c r="AO6" s="135"/>
      <c r="AQ6" s="135"/>
      <c r="AR6" s="135"/>
      <c r="AS6" s="135"/>
      <c r="AT6" s="135"/>
      <c r="AU6" s="135"/>
      <c r="AV6" s="135"/>
      <c r="AX6" s="135"/>
      <c r="AY6" s="135"/>
      <c r="AZ6" s="135"/>
      <c r="BA6" s="135"/>
      <c r="BB6" s="135"/>
      <c r="BC6" s="135"/>
      <c r="BE6" s="133"/>
      <c r="BF6" s="133"/>
      <c r="BG6" s="133"/>
      <c r="BH6" s="133"/>
      <c r="BI6" s="133"/>
      <c r="BJ6" s="133"/>
      <c r="BL6" s="135"/>
      <c r="BM6" s="135"/>
      <c r="BN6" s="135"/>
      <c r="BO6" s="135"/>
      <c r="BP6" s="135"/>
      <c r="BQ6" s="135"/>
      <c r="BS6" s="135"/>
      <c r="BT6" s="135"/>
      <c r="BU6" s="135"/>
      <c r="BV6" s="135"/>
      <c r="BW6" s="135"/>
      <c r="BX6" s="135"/>
      <c r="BZ6" s="135"/>
      <c r="CA6" s="135"/>
      <c r="CB6" s="135"/>
      <c r="CC6" s="135"/>
      <c r="CD6" s="135"/>
      <c r="CE6" s="135"/>
      <c r="CG6" s="133"/>
      <c r="CH6" s="133"/>
      <c r="CI6" s="133"/>
      <c r="CJ6" s="133"/>
      <c r="CK6" s="133"/>
      <c r="CL6" s="133"/>
      <c r="CN6" s="135"/>
      <c r="CO6" s="135"/>
      <c r="CP6" s="135"/>
      <c r="CQ6" s="135"/>
      <c r="CR6" s="135"/>
      <c r="CS6" s="135"/>
      <c r="CU6" s="135"/>
      <c r="CV6" s="135"/>
      <c r="CW6" s="135"/>
      <c r="CX6" s="135"/>
      <c r="CY6" s="135"/>
      <c r="CZ6" s="135"/>
      <c r="DB6" s="135"/>
      <c r="DC6" s="135"/>
      <c r="DD6" s="135"/>
      <c r="DE6" s="135"/>
      <c r="DF6" s="135"/>
      <c r="DG6" s="135"/>
    </row>
    <row r="7" spans="1:111" ht="3" customHeight="1" thickBot="1" x14ac:dyDescent="0.25">
      <c r="A7" s="137"/>
      <c r="B7" s="137"/>
      <c r="C7" s="137"/>
      <c r="D7" s="137"/>
      <c r="E7" s="137"/>
      <c r="F7" s="137"/>
      <c r="H7" s="128"/>
      <c r="I7" s="128"/>
      <c r="J7" s="128"/>
      <c r="K7" s="128"/>
      <c r="L7" s="128"/>
      <c r="M7" s="128"/>
      <c r="O7" s="128"/>
      <c r="P7" s="128"/>
      <c r="Q7" s="128"/>
      <c r="R7" s="128"/>
      <c r="S7" s="128"/>
      <c r="T7" s="128"/>
      <c r="V7" s="128"/>
      <c r="W7" s="128"/>
      <c r="X7" s="128"/>
      <c r="Y7" s="128"/>
      <c r="Z7" s="128"/>
      <c r="AA7" s="128"/>
      <c r="AC7" s="137"/>
      <c r="AD7" s="137"/>
      <c r="AE7" s="137"/>
      <c r="AF7" s="137"/>
      <c r="AG7" s="137"/>
      <c r="AH7" s="137"/>
      <c r="AJ7" s="128"/>
      <c r="AK7" s="128"/>
      <c r="AL7" s="128"/>
      <c r="AM7" s="128"/>
      <c r="AN7" s="128"/>
      <c r="AO7" s="128"/>
      <c r="AQ7" s="128"/>
      <c r="AR7" s="128"/>
      <c r="AS7" s="128"/>
      <c r="AT7" s="128"/>
      <c r="AU7" s="128"/>
      <c r="AV7" s="128"/>
      <c r="AX7" s="128"/>
      <c r="AY7" s="128"/>
      <c r="AZ7" s="128"/>
      <c r="BA7" s="128"/>
      <c r="BB7" s="128"/>
      <c r="BC7" s="128"/>
      <c r="BE7" s="137"/>
      <c r="BF7" s="137"/>
      <c r="BG7" s="137"/>
      <c r="BH7" s="137"/>
      <c r="BI7" s="137"/>
      <c r="BJ7" s="137"/>
      <c r="BL7" s="128"/>
      <c r="BM7" s="128"/>
      <c r="BN7" s="128"/>
      <c r="BO7" s="128"/>
      <c r="BP7" s="128"/>
      <c r="BQ7" s="128"/>
      <c r="BS7" s="128"/>
      <c r="BT7" s="128"/>
      <c r="BU7" s="128"/>
      <c r="BV7" s="128"/>
      <c r="BW7" s="128"/>
      <c r="BX7" s="128"/>
      <c r="BZ7" s="128"/>
      <c r="CA7" s="128"/>
      <c r="CB7" s="128"/>
      <c r="CC7" s="128"/>
      <c r="CD7" s="128"/>
      <c r="CE7" s="128"/>
      <c r="CG7" s="137"/>
      <c r="CH7" s="137"/>
      <c r="CI7" s="137"/>
      <c r="CJ7" s="137"/>
      <c r="CK7" s="137"/>
      <c r="CL7" s="137"/>
      <c r="CN7" s="128"/>
      <c r="CO7" s="128"/>
      <c r="CP7" s="128"/>
      <c r="CQ7" s="128"/>
      <c r="CR7" s="128"/>
      <c r="CS7" s="128"/>
      <c r="CU7" s="128"/>
      <c r="CV7" s="128"/>
      <c r="CW7" s="128"/>
      <c r="CX7" s="128"/>
      <c r="CY7" s="128"/>
      <c r="CZ7" s="128"/>
      <c r="DB7" s="128"/>
      <c r="DC7" s="128"/>
      <c r="DD7" s="128"/>
      <c r="DE7" s="128"/>
      <c r="DF7" s="128"/>
      <c r="DG7" s="128"/>
    </row>
    <row r="8" spans="1:111" ht="30" customHeight="1" thickBot="1" x14ac:dyDescent="0.25">
      <c r="A8" s="129" t="str">
        <f>UPPER(TRIM(Values!$B$2))</f>
        <v/>
      </c>
      <c r="B8" s="130"/>
      <c r="C8" s="130"/>
      <c r="D8" s="130"/>
      <c r="E8" s="130"/>
      <c r="F8" s="131"/>
      <c r="H8" s="127"/>
      <c r="I8" s="127"/>
      <c r="J8" s="127"/>
      <c r="K8" s="127"/>
      <c r="L8" s="127"/>
      <c r="M8" s="127"/>
      <c r="O8" s="127"/>
      <c r="P8" s="127"/>
      <c r="Q8" s="127"/>
      <c r="R8" s="127"/>
      <c r="S8" s="127"/>
      <c r="T8" s="127"/>
      <c r="V8" s="127"/>
      <c r="W8" s="127"/>
      <c r="X8" s="127"/>
      <c r="Y8" s="127"/>
      <c r="Z8" s="127"/>
      <c r="AA8" s="127"/>
      <c r="AC8" s="129" t="str">
        <f>UPPER(TRIM(Values!$C$2))</f>
        <v/>
      </c>
      <c r="AD8" s="130"/>
      <c r="AE8" s="130"/>
      <c r="AF8" s="130"/>
      <c r="AG8" s="130"/>
      <c r="AH8" s="131"/>
      <c r="AJ8" s="127"/>
      <c r="AK8" s="127"/>
      <c r="AL8" s="127"/>
      <c r="AM8" s="127"/>
      <c r="AN8" s="127"/>
      <c r="AO8" s="127"/>
      <c r="AQ8" s="127"/>
      <c r="AR8" s="127"/>
      <c r="AS8" s="127"/>
      <c r="AT8" s="127"/>
      <c r="AU8" s="127"/>
      <c r="AV8" s="127"/>
      <c r="AX8" s="127"/>
      <c r="AY8" s="127"/>
      <c r="AZ8" s="127"/>
      <c r="BA8" s="127"/>
      <c r="BB8" s="127"/>
      <c r="BC8" s="127"/>
      <c r="BE8" s="129" t="str">
        <f>UPPER(TRIM(Values!$D$2))</f>
        <v/>
      </c>
      <c r="BF8" s="130"/>
      <c r="BG8" s="130"/>
      <c r="BH8" s="130"/>
      <c r="BI8" s="130"/>
      <c r="BJ8" s="131"/>
      <c r="BL8" s="127"/>
      <c r="BM8" s="127"/>
      <c r="BN8" s="127"/>
      <c r="BO8" s="127"/>
      <c r="BP8" s="127"/>
      <c r="BQ8" s="127"/>
      <c r="BS8" s="127"/>
      <c r="BT8" s="127"/>
      <c r="BU8" s="127"/>
      <c r="BV8" s="127"/>
      <c r="BW8" s="127"/>
      <c r="BX8" s="127"/>
      <c r="BZ8" s="127"/>
      <c r="CA8" s="127"/>
      <c r="CB8" s="127"/>
      <c r="CC8" s="127"/>
      <c r="CD8" s="127"/>
      <c r="CE8" s="127"/>
      <c r="CG8" s="129" t="str">
        <f>UPPER(TRIM(Values!$E$2))</f>
        <v/>
      </c>
      <c r="CH8" s="130"/>
      <c r="CI8" s="130"/>
      <c r="CJ8" s="130"/>
      <c r="CK8" s="130"/>
      <c r="CL8" s="131"/>
      <c r="CN8" s="127"/>
      <c r="CO8" s="127"/>
      <c r="CP8" s="127"/>
      <c r="CQ8" s="127"/>
      <c r="CR8" s="127"/>
      <c r="CS8" s="127"/>
      <c r="CU8" s="127"/>
      <c r="CV8" s="127"/>
      <c r="CW8" s="127"/>
      <c r="CX8" s="127"/>
      <c r="CY8" s="127"/>
      <c r="CZ8" s="127"/>
      <c r="DB8" s="127"/>
      <c r="DC8" s="127"/>
      <c r="DD8" s="127"/>
      <c r="DE8" s="127"/>
      <c r="DF8" s="127"/>
      <c r="DG8" s="127"/>
    </row>
    <row r="9" spans="1:111" ht="3" customHeight="1" x14ac:dyDescent="0.2">
      <c r="A9" s="133"/>
      <c r="B9" s="133"/>
      <c r="C9" s="133"/>
      <c r="D9" s="133"/>
      <c r="E9" s="133"/>
      <c r="F9" s="133"/>
      <c r="H9" s="135"/>
      <c r="I9" s="135"/>
      <c r="J9" s="135"/>
      <c r="K9" s="135"/>
      <c r="L9" s="135"/>
      <c r="M9" s="135"/>
      <c r="O9" s="135"/>
      <c r="P9" s="135"/>
      <c r="Q9" s="135"/>
      <c r="R9" s="135"/>
      <c r="S9" s="135"/>
      <c r="T9" s="135"/>
      <c r="V9" s="135"/>
      <c r="W9" s="135"/>
      <c r="X9" s="135"/>
      <c r="Y9" s="135"/>
      <c r="Z9" s="135"/>
      <c r="AA9" s="135"/>
      <c r="AC9" s="133"/>
      <c r="AD9" s="133"/>
      <c r="AE9" s="133"/>
      <c r="AF9" s="133"/>
      <c r="AG9" s="133"/>
      <c r="AH9" s="133"/>
      <c r="AJ9" s="135"/>
      <c r="AK9" s="135"/>
      <c r="AL9" s="135"/>
      <c r="AM9" s="135"/>
      <c r="AN9" s="135"/>
      <c r="AO9" s="135"/>
      <c r="AQ9" s="135"/>
      <c r="AR9" s="135"/>
      <c r="AS9" s="135"/>
      <c r="AT9" s="135"/>
      <c r="AU9" s="135"/>
      <c r="AV9" s="135"/>
      <c r="AX9" s="135"/>
      <c r="AY9" s="135"/>
      <c r="AZ9" s="135"/>
      <c r="BA9" s="135"/>
      <c r="BB9" s="135"/>
      <c r="BC9" s="135"/>
      <c r="BE9" s="133"/>
      <c r="BF9" s="133"/>
      <c r="BG9" s="133"/>
      <c r="BH9" s="133"/>
      <c r="BI9" s="133"/>
      <c r="BJ9" s="133"/>
      <c r="BL9" s="135"/>
      <c r="BM9" s="135"/>
      <c r="BN9" s="135"/>
      <c r="BO9" s="135"/>
      <c r="BP9" s="135"/>
      <c r="BQ9" s="135"/>
      <c r="BS9" s="135"/>
      <c r="BT9" s="135"/>
      <c r="BU9" s="135"/>
      <c r="BV9" s="135"/>
      <c r="BW9" s="135"/>
      <c r="BX9" s="135"/>
      <c r="BZ9" s="135"/>
      <c r="CA9" s="135"/>
      <c r="CB9" s="135"/>
      <c r="CC9" s="135"/>
      <c r="CD9" s="135"/>
      <c r="CE9" s="135"/>
      <c r="CG9" s="133"/>
      <c r="CH9" s="133"/>
      <c r="CI9" s="133"/>
      <c r="CJ9" s="133"/>
      <c r="CK9" s="133"/>
      <c r="CL9" s="133"/>
      <c r="CN9" s="135"/>
      <c r="CO9" s="135"/>
      <c r="CP9" s="135"/>
      <c r="CQ9" s="135"/>
      <c r="CR9" s="135"/>
      <c r="CS9" s="135"/>
      <c r="CU9" s="135"/>
      <c r="CV9" s="135"/>
      <c r="CW9" s="135"/>
      <c r="CX9" s="135"/>
      <c r="CY9" s="135"/>
      <c r="CZ9" s="135"/>
      <c r="DB9" s="135"/>
      <c r="DC9" s="135"/>
      <c r="DD9" s="135"/>
      <c r="DE9" s="135"/>
      <c r="DF9" s="135"/>
      <c r="DG9" s="135"/>
    </row>
    <row r="10" spans="1:111" ht="3" customHeight="1" thickBot="1" x14ac:dyDescent="0.25">
      <c r="A10" s="134"/>
      <c r="B10" s="134"/>
      <c r="C10" s="134"/>
      <c r="D10" s="134"/>
      <c r="E10" s="134"/>
      <c r="F10" s="134"/>
      <c r="H10" s="136"/>
      <c r="I10" s="136"/>
      <c r="J10" s="136"/>
      <c r="K10" s="136"/>
      <c r="L10" s="136"/>
      <c r="M10" s="136"/>
      <c r="O10" s="136"/>
      <c r="P10" s="136"/>
      <c r="Q10" s="136"/>
      <c r="R10" s="136"/>
      <c r="S10" s="136"/>
      <c r="T10" s="136"/>
      <c r="V10" s="136"/>
      <c r="W10" s="136"/>
      <c r="X10" s="136"/>
      <c r="Y10" s="136"/>
      <c r="Z10" s="136"/>
      <c r="AA10" s="136"/>
      <c r="AC10" s="134"/>
      <c r="AD10" s="134"/>
      <c r="AE10" s="134"/>
      <c r="AF10" s="134"/>
      <c r="AG10" s="134"/>
      <c r="AH10" s="134"/>
      <c r="AJ10" s="136"/>
      <c r="AK10" s="136"/>
      <c r="AL10" s="136"/>
      <c r="AM10" s="136"/>
      <c r="AN10" s="136"/>
      <c r="AO10" s="136"/>
      <c r="AQ10" s="136"/>
      <c r="AR10" s="136"/>
      <c r="AS10" s="136"/>
      <c r="AT10" s="136"/>
      <c r="AU10" s="136"/>
      <c r="AV10" s="136"/>
      <c r="AX10" s="136"/>
      <c r="AY10" s="136"/>
      <c r="AZ10" s="136"/>
      <c r="BA10" s="136"/>
      <c r="BB10" s="136"/>
      <c r="BC10" s="136"/>
      <c r="BE10" s="134"/>
      <c r="BF10" s="134"/>
      <c r="BG10" s="134"/>
      <c r="BH10" s="134"/>
      <c r="BI10" s="134"/>
      <c r="BJ10" s="134"/>
      <c r="BL10" s="136"/>
      <c r="BM10" s="136"/>
      <c r="BN10" s="136"/>
      <c r="BO10" s="136"/>
      <c r="BP10" s="136"/>
      <c r="BQ10" s="136"/>
      <c r="BS10" s="136"/>
      <c r="BT10" s="136"/>
      <c r="BU10" s="136"/>
      <c r="BV10" s="136"/>
      <c r="BW10" s="136"/>
      <c r="BX10" s="136"/>
      <c r="BZ10" s="136"/>
      <c r="CA10" s="136"/>
      <c r="CB10" s="136"/>
      <c r="CC10" s="136"/>
      <c r="CD10" s="136"/>
      <c r="CE10" s="136"/>
      <c r="CG10" s="134"/>
      <c r="CH10" s="134"/>
      <c r="CI10" s="134"/>
      <c r="CJ10" s="134"/>
      <c r="CK10" s="134"/>
      <c r="CL10" s="134"/>
      <c r="CN10" s="136"/>
      <c r="CO10" s="136"/>
      <c r="CP10" s="136"/>
      <c r="CQ10" s="136"/>
      <c r="CR10" s="136"/>
      <c r="CS10" s="136"/>
      <c r="CU10" s="136"/>
      <c r="CV10" s="136"/>
      <c r="CW10" s="136"/>
      <c r="CX10" s="136"/>
      <c r="CY10" s="136"/>
      <c r="CZ10" s="136"/>
      <c r="DB10" s="136"/>
      <c r="DC10" s="136"/>
      <c r="DD10" s="136"/>
      <c r="DE10" s="136"/>
      <c r="DF10" s="136"/>
      <c r="DG10" s="136"/>
    </row>
    <row r="11" spans="1:111" ht="30" customHeight="1" thickBot="1" x14ac:dyDescent="0.25">
      <c r="A11" s="129" t="str">
        <f>UPPER(TRIM(Values!$B$2))</f>
        <v/>
      </c>
      <c r="B11" s="130"/>
      <c r="C11" s="130"/>
      <c r="D11" s="130"/>
      <c r="E11" s="130"/>
      <c r="F11" s="131"/>
      <c r="H11" s="127"/>
      <c r="I11" s="127"/>
      <c r="J11" s="127"/>
      <c r="K11" s="127"/>
      <c r="L11" s="127"/>
      <c r="M11" s="127"/>
      <c r="O11" s="127"/>
      <c r="P11" s="127"/>
      <c r="Q11" s="127"/>
      <c r="R11" s="127"/>
      <c r="S11" s="127"/>
      <c r="T11" s="127"/>
      <c r="V11" s="127"/>
      <c r="W11" s="127"/>
      <c r="X11" s="127"/>
      <c r="Y11" s="127"/>
      <c r="Z11" s="127"/>
      <c r="AA11" s="127"/>
      <c r="AC11" s="129" t="str">
        <f>UPPER(TRIM(Values!$C$2))</f>
        <v/>
      </c>
      <c r="AD11" s="130"/>
      <c r="AE11" s="130"/>
      <c r="AF11" s="130"/>
      <c r="AG11" s="130"/>
      <c r="AH11" s="131"/>
      <c r="AJ11" s="127"/>
      <c r="AK11" s="127"/>
      <c r="AL11" s="127"/>
      <c r="AM11" s="127"/>
      <c r="AN11" s="127"/>
      <c r="AO11" s="127"/>
      <c r="AQ11" s="127"/>
      <c r="AR11" s="127"/>
      <c r="AS11" s="127"/>
      <c r="AT11" s="127"/>
      <c r="AU11" s="127"/>
      <c r="AV11" s="127"/>
      <c r="AX11" s="127"/>
      <c r="AY11" s="127"/>
      <c r="AZ11" s="127"/>
      <c r="BA11" s="127"/>
      <c r="BB11" s="127"/>
      <c r="BC11" s="127"/>
      <c r="BE11" s="129" t="str">
        <f>UPPER(TRIM(Values!$D$2))</f>
        <v/>
      </c>
      <c r="BF11" s="130"/>
      <c r="BG11" s="130"/>
      <c r="BH11" s="130"/>
      <c r="BI11" s="130"/>
      <c r="BJ11" s="131"/>
      <c r="BL11" s="127"/>
      <c r="BM11" s="127"/>
      <c r="BN11" s="127"/>
      <c r="BO11" s="127"/>
      <c r="BP11" s="127"/>
      <c r="BQ11" s="127"/>
      <c r="BS11" s="127"/>
      <c r="BT11" s="127"/>
      <c r="BU11" s="127"/>
      <c r="BV11" s="127"/>
      <c r="BW11" s="127"/>
      <c r="BX11" s="127"/>
      <c r="BZ11" s="127"/>
      <c r="CA11" s="127"/>
      <c r="CB11" s="127"/>
      <c r="CC11" s="127"/>
      <c r="CD11" s="127"/>
      <c r="CE11" s="127"/>
      <c r="CG11" s="129" t="str">
        <f>UPPER(TRIM(Values!$E$2))</f>
        <v/>
      </c>
      <c r="CH11" s="130"/>
      <c r="CI11" s="130"/>
      <c r="CJ11" s="130"/>
      <c r="CK11" s="130"/>
      <c r="CL11" s="131"/>
      <c r="CN11" s="127"/>
      <c r="CO11" s="127"/>
      <c r="CP11" s="127"/>
      <c r="CQ11" s="127"/>
      <c r="CR11" s="127"/>
      <c r="CS11" s="127"/>
      <c r="CU11" s="127"/>
      <c r="CV11" s="127"/>
      <c r="CW11" s="127"/>
      <c r="CX11" s="127"/>
      <c r="CY11" s="127"/>
      <c r="CZ11" s="127"/>
      <c r="DB11" s="127"/>
      <c r="DC11" s="127"/>
      <c r="DD11" s="127"/>
      <c r="DE11" s="127"/>
      <c r="DF11" s="127"/>
      <c r="DG11" s="127"/>
    </row>
    <row r="12" spans="1:111" ht="3" customHeight="1" x14ac:dyDescent="0.2">
      <c r="A12" s="132"/>
      <c r="B12" s="132"/>
      <c r="C12" s="132"/>
      <c r="D12" s="132"/>
      <c r="E12" s="132"/>
      <c r="F12" s="132"/>
      <c r="H12" s="132"/>
      <c r="I12" s="132"/>
      <c r="J12" s="132"/>
      <c r="K12" s="132"/>
      <c r="L12" s="132"/>
      <c r="M12" s="132"/>
      <c r="O12" s="132"/>
      <c r="P12" s="132"/>
      <c r="Q12" s="132"/>
      <c r="R12" s="132"/>
      <c r="S12" s="132"/>
      <c r="T12" s="132"/>
      <c r="V12" s="132"/>
      <c r="W12" s="132"/>
      <c r="X12" s="132"/>
      <c r="Y12" s="132"/>
      <c r="Z12" s="132"/>
      <c r="AA12" s="132"/>
      <c r="AC12" s="132"/>
      <c r="AD12" s="132"/>
      <c r="AE12" s="132"/>
      <c r="AF12" s="132"/>
      <c r="AG12" s="132"/>
      <c r="AH12" s="132"/>
      <c r="AJ12" s="132"/>
      <c r="AK12" s="132"/>
      <c r="AL12" s="132"/>
      <c r="AM12" s="132"/>
      <c r="AN12" s="132"/>
      <c r="AO12" s="132"/>
      <c r="AQ12" s="132"/>
      <c r="AR12" s="132"/>
      <c r="AS12" s="132"/>
      <c r="AT12" s="132"/>
      <c r="AU12" s="132"/>
      <c r="AV12" s="132"/>
      <c r="AX12" s="132"/>
      <c r="AY12" s="132"/>
      <c r="AZ12" s="132"/>
      <c r="BA12" s="132"/>
      <c r="BB12" s="132"/>
      <c r="BC12" s="132"/>
      <c r="BE12" s="132"/>
      <c r="BF12" s="132"/>
      <c r="BG12" s="132"/>
      <c r="BH12" s="132"/>
      <c r="BI12" s="132"/>
      <c r="BJ12" s="132"/>
      <c r="BL12" s="132"/>
      <c r="BM12" s="132"/>
      <c r="BN12" s="132"/>
      <c r="BO12" s="132"/>
      <c r="BP12" s="132"/>
      <c r="BQ12" s="132"/>
      <c r="BS12" s="132"/>
      <c r="BT12" s="132"/>
      <c r="BU12" s="132"/>
      <c r="BV12" s="132"/>
      <c r="BW12" s="132"/>
      <c r="BX12" s="132"/>
      <c r="BZ12" s="132"/>
      <c r="CA12" s="132"/>
      <c r="CB12" s="132"/>
      <c r="CC12" s="132"/>
      <c r="CD12" s="132"/>
      <c r="CE12" s="132"/>
      <c r="CG12" s="132"/>
      <c r="CH12" s="132"/>
      <c r="CI12" s="132"/>
      <c r="CJ12" s="132"/>
      <c r="CK12" s="132"/>
      <c r="CL12" s="132"/>
      <c r="CN12" s="132"/>
      <c r="CO12" s="132"/>
      <c r="CP12" s="132"/>
      <c r="CQ12" s="132"/>
      <c r="CR12" s="132"/>
      <c r="CS12" s="132"/>
      <c r="CU12" s="132"/>
      <c r="CV12" s="132"/>
      <c r="CW12" s="132"/>
      <c r="CX12" s="132"/>
      <c r="CY12" s="132"/>
      <c r="CZ12" s="132"/>
      <c r="DB12" s="132"/>
      <c r="DC12" s="132"/>
      <c r="DD12" s="132"/>
      <c r="DE12" s="132"/>
      <c r="DF12" s="132"/>
      <c r="DG12" s="132"/>
    </row>
    <row r="13" spans="1:111" ht="3" customHeight="1" thickBot="1" x14ac:dyDescent="0.25">
      <c r="A13" s="99"/>
      <c r="B13" s="99"/>
      <c r="C13" s="99"/>
      <c r="D13" s="99"/>
      <c r="E13" s="99"/>
      <c r="F13" s="99"/>
      <c r="H13" s="99"/>
      <c r="I13" s="99"/>
      <c r="J13" s="99"/>
      <c r="K13" s="99"/>
      <c r="L13" s="99"/>
      <c r="M13" s="99"/>
      <c r="O13" s="99"/>
      <c r="P13" s="99"/>
      <c r="Q13" s="99"/>
      <c r="R13" s="99"/>
      <c r="S13" s="99"/>
      <c r="T13" s="99"/>
      <c r="V13" s="99"/>
      <c r="W13" s="99"/>
      <c r="X13" s="99"/>
      <c r="Y13" s="99"/>
      <c r="Z13" s="99"/>
      <c r="AA13" s="99"/>
      <c r="AC13" s="99"/>
      <c r="AD13" s="99"/>
      <c r="AE13" s="99"/>
      <c r="AF13" s="99"/>
      <c r="AG13" s="99"/>
      <c r="AH13" s="99"/>
      <c r="AJ13" s="99"/>
      <c r="AK13" s="99"/>
      <c r="AL13" s="99"/>
      <c r="AM13" s="99"/>
      <c r="AN13" s="99"/>
      <c r="AO13" s="99"/>
      <c r="AQ13" s="99"/>
      <c r="AR13" s="99"/>
      <c r="AS13" s="99"/>
      <c r="AT13" s="99"/>
      <c r="AU13" s="99"/>
      <c r="AV13" s="99"/>
      <c r="AX13" s="99"/>
      <c r="AY13" s="99"/>
      <c r="AZ13" s="99"/>
      <c r="BA13" s="99"/>
      <c r="BB13" s="99"/>
      <c r="BC13" s="99"/>
      <c r="BE13" s="99"/>
      <c r="BF13" s="99"/>
      <c r="BG13" s="99"/>
      <c r="BH13" s="99"/>
      <c r="BI13" s="99"/>
      <c r="BJ13" s="99"/>
      <c r="BL13" s="99"/>
      <c r="BM13" s="99"/>
      <c r="BN13" s="99"/>
      <c r="BO13" s="99"/>
      <c r="BP13" s="99"/>
      <c r="BQ13" s="99"/>
      <c r="BS13" s="99"/>
      <c r="BT13" s="99"/>
      <c r="BU13" s="99"/>
      <c r="BV13" s="99"/>
      <c r="BW13" s="99"/>
      <c r="BX13" s="99"/>
      <c r="BZ13" s="99"/>
      <c r="CA13" s="99"/>
      <c r="CB13" s="99"/>
      <c r="CC13" s="99"/>
      <c r="CD13" s="99"/>
      <c r="CE13" s="99"/>
      <c r="CG13" s="99"/>
      <c r="CH13" s="99"/>
      <c r="CI13" s="99"/>
      <c r="CJ13" s="99"/>
      <c r="CK13" s="99"/>
      <c r="CL13" s="99"/>
      <c r="CN13" s="99"/>
      <c r="CO13" s="99"/>
      <c r="CP13" s="99"/>
      <c r="CQ13" s="99"/>
      <c r="CR13" s="99"/>
      <c r="CS13" s="99"/>
      <c r="CU13" s="99"/>
      <c r="CV13" s="99"/>
      <c r="CW13" s="99"/>
      <c r="CX13" s="99"/>
      <c r="CY13" s="99"/>
      <c r="CZ13" s="99"/>
      <c r="DB13" s="99"/>
      <c r="DC13" s="99"/>
      <c r="DD13" s="99"/>
      <c r="DE13" s="99"/>
      <c r="DF13" s="99"/>
      <c r="DG13" s="99"/>
    </row>
    <row r="14" spans="1:111" ht="30" customHeight="1" thickBot="1" x14ac:dyDescent="0.25">
      <c r="A14" s="124" t="str">
        <f>UPPER(CONCATENATE(Values!$B$14,Values!$B$15))</f>
        <v/>
      </c>
      <c r="B14" s="125"/>
      <c r="C14" s="125"/>
      <c r="D14" s="125"/>
      <c r="E14" s="125"/>
      <c r="F14" s="126"/>
      <c r="H14" s="127"/>
      <c r="I14" s="127"/>
      <c r="J14" s="127"/>
      <c r="K14" s="127"/>
      <c r="L14" s="127"/>
      <c r="M14" s="127"/>
      <c r="O14" s="127"/>
      <c r="P14" s="127"/>
      <c r="Q14" s="127"/>
      <c r="R14" s="127"/>
      <c r="S14" s="127"/>
      <c r="T14" s="127"/>
      <c r="V14" s="127"/>
      <c r="W14" s="127"/>
      <c r="X14" s="127"/>
      <c r="Y14" s="127"/>
      <c r="Z14" s="127"/>
      <c r="AA14" s="127"/>
      <c r="AC14" s="124" t="str">
        <f>UPPER(CONCATENATE(Values!$C$14,Values!$C$15))</f>
        <v/>
      </c>
      <c r="AD14" s="125"/>
      <c r="AE14" s="125"/>
      <c r="AF14" s="125"/>
      <c r="AG14" s="125"/>
      <c r="AH14" s="126"/>
      <c r="AJ14" s="127"/>
      <c r="AK14" s="127"/>
      <c r="AL14" s="127"/>
      <c r="AM14" s="127"/>
      <c r="AN14" s="127"/>
      <c r="AO14" s="127"/>
      <c r="AQ14" s="127"/>
      <c r="AR14" s="127"/>
      <c r="AS14" s="127"/>
      <c r="AT14" s="127"/>
      <c r="AU14" s="127"/>
      <c r="AV14" s="127"/>
      <c r="AX14" s="127"/>
      <c r="AY14" s="127"/>
      <c r="AZ14" s="127"/>
      <c r="BA14" s="127"/>
      <c r="BB14" s="127"/>
      <c r="BC14" s="127"/>
      <c r="BE14" s="124" t="str">
        <f>UPPER(CONCATENATE(Values!$D$14,Values!$D$15))</f>
        <v/>
      </c>
      <c r="BF14" s="125"/>
      <c r="BG14" s="125"/>
      <c r="BH14" s="125"/>
      <c r="BI14" s="125"/>
      <c r="BJ14" s="126"/>
      <c r="BL14" s="127"/>
      <c r="BM14" s="127"/>
      <c r="BN14" s="127"/>
      <c r="BO14" s="127"/>
      <c r="BP14" s="127"/>
      <c r="BQ14" s="127"/>
      <c r="BS14" s="127"/>
      <c r="BT14" s="127"/>
      <c r="BU14" s="127"/>
      <c r="BV14" s="127"/>
      <c r="BW14" s="127"/>
      <c r="BX14" s="127"/>
      <c r="BZ14" s="127"/>
      <c r="CA14" s="127"/>
      <c r="CB14" s="127"/>
      <c r="CC14" s="127"/>
      <c r="CD14" s="127"/>
      <c r="CE14" s="127"/>
      <c r="CG14" s="124" t="str">
        <f>UPPER(CONCATENATE(Values!$E$14,Values!$E$15))</f>
        <v/>
      </c>
      <c r="CH14" s="125"/>
      <c r="CI14" s="125"/>
      <c r="CJ14" s="125"/>
      <c r="CK14" s="125"/>
      <c r="CL14" s="126"/>
      <c r="CN14" s="127"/>
      <c r="CO14" s="127"/>
      <c r="CP14" s="127"/>
      <c r="CQ14" s="127"/>
      <c r="CR14" s="127"/>
      <c r="CS14" s="127"/>
      <c r="CU14" s="127"/>
      <c r="CV14" s="127"/>
      <c r="CW14" s="127"/>
      <c r="CX14" s="127"/>
      <c r="CY14" s="127"/>
      <c r="CZ14" s="127"/>
      <c r="DB14" s="127"/>
      <c r="DC14" s="127"/>
      <c r="DD14" s="127"/>
      <c r="DE14" s="127"/>
      <c r="DF14" s="127"/>
      <c r="DG14" s="127"/>
    </row>
    <row r="15" spans="1:111" ht="3" customHeight="1" x14ac:dyDescent="0.2">
      <c r="A15" s="114"/>
      <c r="B15" s="114"/>
      <c r="C15" s="114"/>
      <c r="D15" s="114"/>
      <c r="E15" s="114"/>
      <c r="F15" s="114"/>
      <c r="H15" s="128"/>
      <c r="I15" s="128"/>
      <c r="J15" s="128"/>
      <c r="K15" s="128"/>
      <c r="L15" s="128"/>
      <c r="M15" s="128"/>
      <c r="O15" s="128"/>
      <c r="P15" s="128"/>
      <c r="Q15" s="128"/>
      <c r="R15" s="128"/>
      <c r="S15" s="128"/>
      <c r="T15" s="128"/>
      <c r="V15" s="128"/>
      <c r="W15" s="128"/>
      <c r="X15" s="128"/>
      <c r="Y15" s="128"/>
      <c r="Z15" s="128"/>
      <c r="AA15" s="128"/>
      <c r="AC15" s="114"/>
      <c r="AD15" s="114"/>
      <c r="AE15" s="114"/>
      <c r="AF15" s="114"/>
      <c r="AG15" s="114"/>
      <c r="AH15" s="114"/>
      <c r="AJ15" s="128"/>
      <c r="AK15" s="128"/>
      <c r="AL15" s="128"/>
      <c r="AM15" s="128"/>
      <c r="AN15" s="128"/>
      <c r="AO15" s="128"/>
      <c r="AQ15" s="128"/>
      <c r="AR15" s="128"/>
      <c r="AS15" s="128"/>
      <c r="AT15" s="128"/>
      <c r="AU15" s="128"/>
      <c r="AV15" s="128"/>
      <c r="AX15" s="128"/>
      <c r="AY15" s="128"/>
      <c r="AZ15" s="128"/>
      <c r="BA15" s="128"/>
      <c r="BB15" s="128"/>
      <c r="BC15" s="128"/>
      <c r="BE15" s="114"/>
      <c r="BF15" s="114"/>
      <c r="BG15" s="114"/>
      <c r="BH15" s="114"/>
      <c r="BI15" s="114"/>
      <c r="BJ15" s="114"/>
      <c r="BL15" s="128"/>
      <c r="BM15" s="128"/>
      <c r="BN15" s="128"/>
      <c r="BO15" s="128"/>
      <c r="BP15" s="128"/>
      <c r="BQ15" s="128"/>
      <c r="BS15" s="128"/>
      <c r="BT15" s="128"/>
      <c r="BU15" s="128"/>
      <c r="BV15" s="128"/>
      <c r="BW15" s="128"/>
      <c r="BX15" s="128"/>
      <c r="BZ15" s="128"/>
      <c r="CA15" s="128"/>
      <c r="CB15" s="128"/>
      <c r="CC15" s="128"/>
      <c r="CD15" s="128"/>
      <c r="CE15" s="128"/>
      <c r="CG15" s="114"/>
      <c r="CH15" s="114"/>
      <c r="CI15" s="114"/>
      <c r="CJ15" s="114"/>
      <c r="CK15" s="114"/>
      <c r="CL15" s="114"/>
      <c r="CN15" s="128"/>
      <c r="CO15" s="128"/>
      <c r="CP15" s="128"/>
      <c r="CQ15" s="128"/>
      <c r="CR15" s="128"/>
      <c r="CS15" s="128"/>
      <c r="CU15" s="128"/>
      <c r="CV15" s="128"/>
      <c r="CW15" s="128"/>
      <c r="CX15" s="128"/>
      <c r="CY15" s="128"/>
      <c r="CZ15" s="128"/>
      <c r="DB15" s="128"/>
      <c r="DC15" s="128"/>
      <c r="DD15" s="128"/>
      <c r="DE15" s="128"/>
      <c r="DF15" s="128"/>
      <c r="DG15" s="128"/>
    </row>
    <row r="16" spans="1:111" ht="3" customHeight="1" thickBot="1" x14ac:dyDescent="0.25">
      <c r="A16" s="99"/>
      <c r="B16" s="99"/>
      <c r="C16" s="99"/>
      <c r="D16" s="99"/>
      <c r="E16" s="99"/>
      <c r="F16" s="99"/>
      <c r="H16" s="99"/>
      <c r="I16" s="99"/>
      <c r="J16" s="99"/>
      <c r="K16" s="99"/>
      <c r="L16" s="99"/>
      <c r="M16" s="99"/>
      <c r="O16" s="99"/>
      <c r="P16" s="99"/>
      <c r="Q16" s="99"/>
      <c r="R16" s="99"/>
      <c r="S16" s="99"/>
      <c r="T16" s="99"/>
      <c r="V16" s="99"/>
      <c r="W16" s="99"/>
      <c r="X16" s="99"/>
      <c r="Y16" s="99"/>
      <c r="Z16" s="99"/>
      <c r="AA16" s="99"/>
      <c r="AC16" s="99"/>
      <c r="AD16" s="99"/>
      <c r="AE16" s="99"/>
      <c r="AF16" s="99"/>
      <c r="AG16" s="99"/>
      <c r="AH16" s="99"/>
      <c r="AJ16" s="99"/>
      <c r="AK16" s="99"/>
      <c r="AL16" s="99"/>
      <c r="AM16" s="99"/>
      <c r="AN16" s="99"/>
      <c r="AO16" s="99"/>
      <c r="AQ16" s="99"/>
      <c r="AR16" s="99"/>
      <c r="AS16" s="99"/>
      <c r="AT16" s="99"/>
      <c r="AU16" s="99"/>
      <c r="AV16" s="99"/>
      <c r="AX16" s="99"/>
      <c r="AY16" s="99"/>
      <c r="AZ16" s="99"/>
      <c r="BA16" s="99"/>
      <c r="BB16" s="99"/>
      <c r="BC16" s="99"/>
      <c r="BE16" s="99"/>
      <c r="BF16" s="99"/>
      <c r="BG16" s="99"/>
      <c r="BH16" s="99"/>
      <c r="BI16" s="99"/>
      <c r="BJ16" s="99"/>
      <c r="BL16" s="99"/>
      <c r="BM16" s="99"/>
      <c r="BN16" s="99"/>
      <c r="BO16" s="99"/>
      <c r="BP16" s="99"/>
      <c r="BQ16" s="99"/>
      <c r="BS16" s="99"/>
      <c r="BT16" s="99"/>
      <c r="BU16" s="99"/>
      <c r="BV16" s="99"/>
      <c r="BW16" s="99"/>
      <c r="BX16" s="99"/>
      <c r="BZ16" s="99"/>
      <c r="CA16" s="99"/>
      <c r="CB16" s="99"/>
      <c r="CC16" s="99"/>
      <c r="CD16" s="99"/>
      <c r="CE16" s="99"/>
      <c r="CG16" s="99"/>
      <c r="CH16" s="99"/>
      <c r="CI16" s="99"/>
      <c r="CJ16" s="99"/>
      <c r="CK16" s="99"/>
      <c r="CL16" s="99"/>
      <c r="CN16" s="99"/>
      <c r="CO16" s="99"/>
      <c r="CP16" s="99"/>
      <c r="CQ16" s="99"/>
      <c r="CR16" s="99"/>
      <c r="CS16" s="99"/>
      <c r="CU16" s="99"/>
      <c r="CV16" s="99"/>
      <c r="CW16" s="99"/>
      <c r="CX16" s="99"/>
      <c r="CY16" s="99"/>
      <c r="CZ16" s="99"/>
      <c r="DB16" s="99"/>
      <c r="DC16" s="99"/>
      <c r="DD16" s="99"/>
      <c r="DE16" s="99"/>
      <c r="DF16" s="99"/>
      <c r="DG16" s="99"/>
    </row>
    <row r="17" spans="1:111" ht="15" customHeight="1" thickBot="1" x14ac:dyDescent="0.25">
      <c r="A17" s="100" t="str">
        <f>IF(ISBLANK(Values!$B$14),"",IF(ISBLANK(Values!$B$10),TRIM(UPPER(CONCATENATE(Values!$B$14,Values!$B$15))),TRIM(UPPER(CONCATENATE(Values!$B$14,Values!$B$15)))))</f>
        <v/>
      </c>
      <c r="B17" s="101"/>
      <c r="C17" s="101"/>
      <c r="D17" s="101"/>
      <c r="E17" s="101"/>
      <c r="F17" s="102"/>
      <c r="H17" s="100" t="str">
        <f>IF(ISBLANK(Values!$B$14),"",IF(ISBLANK(Values!$B$10),TRIM(UPPER(CONCATENATE(Values!$B$14,Values!$B$15))),TRIM(UPPER(CONCATENATE(Values!$B$14,Values!$B$15)))))</f>
        <v/>
      </c>
      <c r="I17" s="101"/>
      <c r="J17" s="101"/>
      <c r="K17" s="101"/>
      <c r="L17" s="101"/>
      <c r="M17" s="102"/>
      <c r="O17" s="100" t="str">
        <f>IF(ISBLANK(Values!$B$14),"",IF(ISBLANK(Values!$B$10),TRIM(UPPER(CONCATENATE(Values!$B$14,Values!$B$15))),TRIM(UPPER(CONCATENATE(Values!$B$14,Values!$B$15)))))</f>
        <v/>
      </c>
      <c r="P17" s="101"/>
      <c r="Q17" s="101"/>
      <c r="R17" s="101"/>
      <c r="S17" s="101"/>
      <c r="T17" s="102"/>
      <c r="V17" s="100" t="str">
        <f>IF(ISBLANK(Values!$B$14),"",IF(ISBLANK(Values!$B$10),TRIM(UPPER(CONCATENATE(Values!$B$14,Values!$B$15))),TRIM(UPPER(CONCATENATE(Values!$B$14,Values!$B$15)))))</f>
        <v/>
      </c>
      <c r="W17" s="101"/>
      <c r="X17" s="101"/>
      <c r="Y17" s="101"/>
      <c r="Z17" s="101"/>
      <c r="AA17" s="102"/>
      <c r="AC17" s="100" t="str">
        <f>IF(ISBLANK(Values!$C$14),"",IF(ISBLANK(Values!$C$10),TRIM(UPPER(CONCATENATE(Values!$C$14,Values!$C$15))),TRIM(UPPER(CONCATENATE(Values!$C$14,Values!$C$15)))))</f>
        <v/>
      </c>
      <c r="AD17" s="101"/>
      <c r="AE17" s="101"/>
      <c r="AF17" s="101"/>
      <c r="AG17" s="101"/>
      <c r="AH17" s="102"/>
      <c r="AJ17" s="100" t="str">
        <f>IF(ISBLANK(Values!$C$14),"",IF(ISBLANK(Values!$C$10),TRIM(UPPER(CONCATENATE(Values!$C$14,Values!$C$15))),TRIM(UPPER(CONCATENATE(Values!$C$14,Values!$C$15)))))</f>
        <v/>
      </c>
      <c r="AK17" s="101"/>
      <c r="AL17" s="101"/>
      <c r="AM17" s="101"/>
      <c r="AN17" s="101"/>
      <c r="AO17" s="102"/>
      <c r="AQ17" s="100" t="str">
        <f>IF(ISBLANK(Values!$C$14),"",IF(ISBLANK(Values!$C$10),TRIM(UPPER(CONCATENATE(Values!$C$14,Values!$C$15))),TRIM(UPPER(CONCATENATE(Values!$C$14,Values!$C$15)))))</f>
        <v/>
      </c>
      <c r="AR17" s="101"/>
      <c r="AS17" s="101"/>
      <c r="AT17" s="101"/>
      <c r="AU17" s="101"/>
      <c r="AV17" s="102"/>
      <c r="AX17" s="100" t="str">
        <f>IF(ISBLANK(Values!$C$14),"",IF(ISBLANK(Values!$C$10),TRIM(UPPER(CONCATENATE(Values!$C$14,Values!$C$15))),TRIM(UPPER(CONCATENATE(Values!$C$14,Values!$C$15)))))</f>
        <v/>
      </c>
      <c r="AY17" s="101"/>
      <c r="AZ17" s="101"/>
      <c r="BA17" s="101"/>
      <c r="BB17" s="101"/>
      <c r="BC17" s="102"/>
      <c r="BE17" s="100" t="str">
        <f>IF(ISBLANK(Values!$D$14),"",IF(ISBLANK(Values!$D$10),TRIM(UPPER(CONCATENATE(Values!$D$14,Values!$D$15))),TRIM(UPPER(CONCATENATE(Values!$D$14,Values!$D$15)))))</f>
        <v/>
      </c>
      <c r="BF17" s="101"/>
      <c r="BG17" s="101"/>
      <c r="BH17" s="101"/>
      <c r="BI17" s="101"/>
      <c r="BJ17" s="102"/>
      <c r="BL17" s="100" t="str">
        <f>IF(ISBLANK(Values!$D$14),"",IF(ISBLANK(Values!$D$10),TRIM(UPPER(CONCATENATE(Values!$D$14,Values!$D$15))),TRIM(UPPER(CONCATENATE(Values!$D$14,Values!$D$15)))))</f>
        <v/>
      </c>
      <c r="BM17" s="101"/>
      <c r="BN17" s="101"/>
      <c r="BO17" s="101"/>
      <c r="BP17" s="101"/>
      <c r="BQ17" s="102"/>
      <c r="BS17" s="100" t="str">
        <f>IF(ISBLANK(Values!$D$14),"",IF(ISBLANK(Values!$D$10),TRIM(UPPER(CONCATENATE(Values!$D$14,Values!$D$15))),TRIM(UPPER(CONCATENATE(Values!$D$14,Values!$D$15)))))</f>
        <v/>
      </c>
      <c r="BT17" s="101"/>
      <c r="BU17" s="101"/>
      <c r="BV17" s="101"/>
      <c r="BW17" s="101"/>
      <c r="BX17" s="102"/>
      <c r="BZ17" s="100" t="str">
        <f>IF(ISBLANK(Values!$D$14),"",IF(ISBLANK(Values!$D$10),TRIM(UPPER(CONCATENATE(Values!$D$14,Values!$D$15))),TRIM(UPPER(CONCATENATE(Values!$D$14,Values!$D$15)))))</f>
        <v/>
      </c>
      <c r="CA17" s="101"/>
      <c r="CB17" s="101"/>
      <c r="CC17" s="101"/>
      <c r="CD17" s="101"/>
      <c r="CE17" s="102"/>
      <c r="CG17" s="100" t="str">
        <f>IF(ISBLANK(Values!$E$14),"",IF(ISBLANK(Values!$E$10),TRIM(UPPER(CONCATENATE(Values!$E$14,Values!$E$15))),TRIM(UPPER(CONCATENATE(Values!$E$14,Values!$E$15)))))</f>
        <v/>
      </c>
      <c r="CH17" s="101"/>
      <c r="CI17" s="101"/>
      <c r="CJ17" s="101"/>
      <c r="CK17" s="101"/>
      <c r="CL17" s="102"/>
      <c r="CN17" s="100" t="str">
        <f>IF(ISBLANK(Values!$E$14),"",IF(ISBLANK(Values!$E$10),TRIM(UPPER(CONCATENATE(Values!$E$14,Values!$E$15))),TRIM(UPPER(CONCATENATE(Values!$E$14,Values!$E$15)))))</f>
        <v/>
      </c>
      <c r="CO17" s="101"/>
      <c r="CP17" s="101"/>
      <c r="CQ17" s="101"/>
      <c r="CR17" s="101"/>
      <c r="CS17" s="102"/>
      <c r="CU17" s="100" t="str">
        <f>IF(ISBLANK(Values!$E$14),"",IF(ISBLANK(Values!$E$10),TRIM(UPPER(CONCATENATE(Values!$E$14,Values!$E$15))),TRIM(UPPER(CONCATENATE(Values!$E$14,Values!$E$15)))))</f>
        <v/>
      </c>
      <c r="CV17" s="101"/>
      <c r="CW17" s="101"/>
      <c r="CX17" s="101"/>
      <c r="CY17" s="101"/>
      <c r="CZ17" s="102"/>
      <c r="DB17" s="100" t="str">
        <f>IF(ISBLANK(Values!$E$14),"",IF(ISBLANK(Values!$E$10),TRIM(UPPER(CONCATENATE(Values!$E$14,Values!$E$15))),TRIM(UPPER(CONCATENATE(Values!$E$14,Values!$E$15)))))</f>
        <v/>
      </c>
      <c r="DC17" s="101"/>
      <c r="DD17" s="101"/>
      <c r="DE17" s="101"/>
      <c r="DF17" s="101"/>
      <c r="DG17" s="102"/>
    </row>
    <row r="18" spans="1:111" ht="9.9499999999999993" customHeight="1" x14ac:dyDescent="0.2">
      <c r="A18" s="90" t="str">
        <f>TRIM(Values!$B$4)</f>
        <v>Lockheed Martin Missiles and Fire Control</v>
      </c>
      <c r="B18" s="91"/>
      <c r="C18" s="91"/>
      <c r="D18" s="91"/>
      <c r="E18" s="91"/>
      <c r="F18" s="92"/>
      <c r="H18" s="90" t="str">
        <f>TRIM(Values!$B$4)</f>
        <v>Lockheed Martin Missiles and Fire Control</v>
      </c>
      <c r="I18" s="91"/>
      <c r="J18" s="91"/>
      <c r="K18" s="91"/>
      <c r="L18" s="91"/>
      <c r="M18" s="92"/>
      <c r="O18" s="90" t="str">
        <f>TRIM(Values!$B$4)</f>
        <v>Lockheed Martin Missiles and Fire Control</v>
      </c>
      <c r="P18" s="91"/>
      <c r="Q18" s="91"/>
      <c r="R18" s="91"/>
      <c r="S18" s="91"/>
      <c r="T18" s="92"/>
      <c r="V18" s="90" t="str">
        <f>TRIM(Values!$B$4)</f>
        <v>Lockheed Martin Missiles and Fire Control</v>
      </c>
      <c r="W18" s="91"/>
      <c r="X18" s="91"/>
      <c r="Y18" s="91"/>
      <c r="Z18" s="91"/>
      <c r="AA18" s="92"/>
      <c r="AC18" s="90" t="str">
        <f>TRIM(Values!$C$4)</f>
        <v/>
      </c>
      <c r="AD18" s="91"/>
      <c r="AE18" s="91"/>
      <c r="AF18" s="91"/>
      <c r="AG18" s="91"/>
      <c r="AH18" s="92"/>
      <c r="AJ18" s="90" t="str">
        <f>TRIM(Values!$C$4)</f>
        <v/>
      </c>
      <c r="AK18" s="91"/>
      <c r="AL18" s="91"/>
      <c r="AM18" s="91"/>
      <c r="AN18" s="91"/>
      <c r="AO18" s="92"/>
      <c r="AQ18" s="90" t="str">
        <f>TRIM(Values!$C$4)</f>
        <v/>
      </c>
      <c r="AR18" s="91"/>
      <c r="AS18" s="91"/>
      <c r="AT18" s="91"/>
      <c r="AU18" s="91"/>
      <c r="AV18" s="92"/>
      <c r="AX18" s="90" t="str">
        <f>TRIM(Values!$C$4)</f>
        <v/>
      </c>
      <c r="AY18" s="91"/>
      <c r="AZ18" s="91"/>
      <c r="BA18" s="91"/>
      <c r="BB18" s="91"/>
      <c r="BC18" s="92"/>
      <c r="BE18" s="90" t="str">
        <f>TRIM(Values!$D$4)</f>
        <v/>
      </c>
      <c r="BF18" s="91"/>
      <c r="BG18" s="91"/>
      <c r="BH18" s="91"/>
      <c r="BI18" s="91"/>
      <c r="BJ18" s="92"/>
      <c r="BL18" s="90" t="str">
        <f>TRIM(Values!$D$4)</f>
        <v/>
      </c>
      <c r="BM18" s="91"/>
      <c r="BN18" s="91"/>
      <c r="BO18" s="91"/>
      <c r="BP18" s="91"/>
      <c r="BQ18" s="92"/>
      <c r="BS18" s="90" t="str">
        <f>TRIM(Values!$D$4)</f>
        <v/>
      </c>
      <c r="BT18" s="91"/>
      <c r="BU18" s="91"/>
      <c r="BV18" s="91"/>
      <c r="BW18" s="91"/>
      <c r="BX18" s="92"/>
      <c r="BZ18" s="90" t="str">
        <f>TRIM(Values!$D$4)</f>
        <v/>
      </c>
      <c r="CA18" s="91"/>
      <c r="CB18" s="91"/>
      <c r="CC18" s="91"/>
      <c r="CD18" s="91"/>
      <c r="CE18" s="92"/>
      <c r="CG18" s="90" t="str">
        <f>TRIM(Values!$E$4)</f>
        <v/>
      </c>
      <c r="CH18" s="91"/>
      <c r="CI18" s="91"/>
      <c r="CJ18" s="91"/>
      <c r="CK18" s="91"/>
      <c r="CL18" s="92"/>
      <c r="CN18" s="90" t="str">
        <f>TRIM(Values!$E$4)</f>
        <v/>
      </c>
      <c r="CO18" s="91"/>
      <c r="CP18" s="91"/>
      <c r="CQ18" s="91"/>
      <c r="CR18" s="91"/>
      <c r="CS18" s="92"/>
      <c r="CU18" s="90" t="str">
        <f>TRIM(Values!$E$4)</f>
        <v/>
      </c>
      <c r="CV18" s="91"/>
      <c r="CW18" s="91"/>
      <c r="CX18" s="91"/>
      <c r="CY18" s="91"/>
      <c r="CZ18" s="92"/>
      <c r="DB18" s="90" t="str">
        <f>TRIM(Values!$E$4)</f>
        <v/>
      </c>
      <c r="DC18" s="91"/>
      <c r="DD18" s="91"/>
      <c r="DE18" s="91"/>
      <c r="DF18" s="91"/>
      <c r="DG18" s="92"/>
    </row>
    <row r="19" spans="1:111" ht="9.9499999999999993" customHeight="1" x14ac:dyDescent="0.2">
      <c r="A19" s="96" t="str">
        <f>IF(OR(ISBLANK(Values!$B$5),ISBLANK(Values!$B$6),ISBLANK(Values!$B$7),ISBLANK(Values!$B$8)),"",TRIM(CONCATENATE(Values!$B$5," ▪ ",Values!$B$6,", ",Values!$B$7," ",Values!$B$8)))</f>
        <v>5600 Sand Lake Road ▪ Orlando, FL 32819-8907</v>
      </c>
      <c r="B19" s="97"/>
      <c r="C19" s="97"/>
      <c r="D19" s="97"/>
      <c r="E19" s="97"/>
      <c r="F19" s="98"/>
      <c r="H19" s="96" t="str">
        <f>IF(OR(ISBLANK(Values!$B$5),ISBLANK(Values!$B$6),ISBLANK(Values!$B$7),ISBLANK(Values!$B$8)),"",TRIM(CONCATENATE(Values!$B$5," ▪ ",Values!$B$6,", ",Values!$B$7," ",Values!$B$8)))</f>
        <v>5600 Sand Lake Road ▪ Orlando, FL 32819-8907</v>
      </c>
      <c r="I19" s="97"/>
      <c r="J19" s="97"/>
      <c r="K19" s="97"/>
      <c r="L19" s="97"/>
      <c r="M19" s="98"/>
      <c r="O19" s="96" t="str">
        <f>IF(OR(ISBLANK(Values!$B$5),ISBLANK(Values!$B$6),ISBLANK(Values!$B$7),ISBLANK(Values!$B$8)),"",TRIM(CONCATENATE(Values!$B$5," ▪ ",Values!$B$6,", ",Values!$B$7," ",Values!$B$8)))</f>
        <v>5600 Sand Lake Road ▪ Orlando, FL 32819-8907</v>
      </c>
      <c r="P19" s="97"/>
      <c r="Q19" s="97"/>
      <c r="R19" s="97"/>
      <c r="S19" s="97"/>
      <c r="T19" s="98"/>
      <c r="V19" s="96" t="str">
        <f>IF(OR(ISBLANK(Values!$B$5),ISBLANK(Values!$B$6),ISBLANK(Values!$B$7),ISBLANK(Values!$B$8)),"",TRIM(CONCATENATE(Values!$B$5," ▪ ",Values!$B$6,", ",Values!$B$7," ",Values!$B$8)))</f>
        <v>5600 Sand Lake Road ▪ Orlando, FL 32819-8907</v>
      </c>
      <c r="W19" s="97"/>
      <c r="X19" s="97"/>
      <c r="Y19" s="97"/>
      <c r="Z19" s="97"/>
      <c r="AA19" s="98"/>
      <c r="AC19" s="96" t="str">
        <f>IF(OR(ISBLANK(Values!$C$5),ISBLANK(Values!$C$6),ISBLANK(Values!$C$7),ISBLANK(Values!$C$8)),"",TRIM(CONCATENATE(Values!$C$5," ▪ ",Values!$C$6,", ",Values!$C$7," ",Values!$C$8)))</f>
        <v/>
      </c>
      <c r="AD19" s="97"/>
      <c r="AE19" s="97"/>
      <c r="AF19" s="97"/>
      <c r="AG19" s="97"/>
      <c r="AH19" s="98"/>
      <c r="AJ19" s="96" t="str">
        <f>IF(OR(ISBLANK(Values!$C$5),ISBLANK(Values!$C$6),ISBLANK(Values!$C$7),ISBLANK(Values!$C$8)),"",TRIM(CONCATENATE(Values!$C$5," ▪ ",Values!$C$6,", ",Values!$C$7," ",Values!$C$8)))</f>
        <v/>
      </c>
      <c r="AK19" s="97"/>
      <c r="AL19" s="97"/>
      <c r="AM19" s="97"/>
      <c r="AN19" s="97"/>
      <c r="AO19" s="98"/>
      <c r="AQ19" s="96" t="str">
        <f>IF(OR(ISBLANK(Values!$C$5),ISBLANK(Values!$C$6),ISBLANK(Values!$C$7),ISBLANK(Values!$C$8)),"",TRIM(CONCATENATE(Values!$C$5," ▪ ",Values!$C$6,", ",Values!$C$7," ",Values!$C$8)))</f>
        <v/>
      </c>
      <c r="AR19" s="97"/>
      <c r="AS19" s="97"/>
      <c r="AT19" s="97"/>
      <c r="AU19" s="97"/>
      <c r="AV19" s="98"/>
      <c r="AX19" s="96" t="str">
        <f>IF(OR(ISBLANK(Values!$C$5),ISBLANK(Values!$C$6),ISBLANK(Values!$C$7),ISBLANK(Values!$C$8)),"",TRIM(CONCATENATE(Values!$C$5," ▪ ",Values!$C$6,", ",Values!$C$7," ",Values!$C$8)))</f>
        <v/>
      </c>
      <c r="AY19" s="97"/>
      <c r="AZ19" s="97"/>
      <c r="BA19" s="97"/>
      <c r="BB19" s="97"/>
      <c r="BC19" s="98"/>
      <c r="BE19" s="96" t="str">
        <f>IF(OR(ISBLANK(Values!$D$5),ISBLANK(Values!$D$6),ISBLANK(Values!$D$7),ISBLANK(Values!$D$8)),"",TRIM(CONCATENATE(Values!$D$5," ▪ ",Values!$D$6,", ",Values!$D$7," ",Values!$D$8)))</f>
        <v/>
      </c>
      <c r="BF19" s="97"/>
      <c r="BG19" s="97"/>
      <c r="BH19" s="97"/>
      <c r="BI19" s="97"/>
      <c r="BJ19" s="98"/>
      <c r="BL19" s="96" t="str">
        <f>IF(OR(ISBLANK(Values!$D$5),ISBLANK(Values!$D$6),ISBLANK(Values!$D$7),ISBLANK(Values!$D$8)),"",TRIM(CONCATENATE(Values!$D$5," ▪ ",Values!$D$6,", ",Values!$D$7," ",Values!$D$8)))</f>
        <v/>
      </c>
      <c r="BM19" s="97"/>
      <c r="BN19" s="97"/>
      <c r="BO19" s="97"/>
      <c r="BP19" s="97"/>
      <c r="BQ19" s="98"/>
      <c r="BS19" s="96" t="str">
        <f>IF(OR(ISBLANK(Values!$D$5),ISBLANK(Values!$D$6),ISBLANK(Values!$D$7),ISBLANK(Values!$D$8)),"",TRIM(CONCATENATE(Values!$D$5," ▪ ",Values!$D$6,", ",Values!$D$7," ",Values!$D$8)))</f>
        <v/>
      </c>
      <c r="BT19" s="97"/>
      <c r="BU19" s="97"/>
      <c r="BV19" s="97"/>
      <c r="BW19" s="97"/>
      <c r="BX19" s="98"/>
      <c r="BZ19" s="96" t="str">
        <f>IF(OR(ISBLANK(Values!$D$5),ISBLANK(Values!$D$6),ISBLANK(Values!$D$7),ISBLANK(Values!$D$8)),"",TRIM(CONCATENATE(Values!$D$5," ▪ ",Values!$D$6,", ",Values!$D$7," ",Values!$D$8)))</f>
        <v/>
      </c>
      <c r="CA19" s="97"/>
      <c r="CB19" s="97"/>
      <c r="CC19" s="97"/>
      <c r="CD19" s="97"/>
      <c r="CE19" s="98"/>
      <c r="CG19" s="96" t="str">
        <f>IF(OR(ISBLANK(Values!$E$5),ISBLANK(Values!$E$6),ISBLANK(Values!$E$7),ISBLANK(Values!$E$8)),"",TRIM(CONCATENATE(Values!$E$5," ▪ ",Values!$E$6,", ",Values!$E$7," ",Values!$E$8)))</f>
        <v/>
      </c>
      <c r="CH19" s="97"/>
      <c r="CI19" s="97"/>
      <c r="CJ19" s="97"/>
      <c r="CK19" s="97"/>
      <c r="CL19" s="98"/>
      <c r="CN19" s="96" t="str">
        <f>IF(OR(ISBLANK(Values!$E$5),ISBLANK(Values!$E$6),ISBLANK(Values!$E$7),ISBLANK(Values!$E$8)),"",TRIM(CONCATENATE(Values!$E$5," ▪ ",Values!$E$6,", ",Values!$E$7," ",Values!$E$8)))</f>
        <v/>
      </c>
      <c r="CO19" s="97"/>
      <c r="CP19" s="97"/>
      <c r="CQ19" s="97"/>
      <c r="CR19" s="97"/>
      <c r="CS19" s="98"/>
      <c r="CU19" s="96" t="str">
        <f>IF(OR(ISBLANK(Values!$E$5),ISBLANK(Values!$E$6),ISBLANK(Values!$E$7),ISBLANK(Values!$E$8)),"",TRIM(CONCATENATE(Values!$E$5," ▪ ",Values!$E$6,", ",Values!$E$7," ",Values!$E$8)))</f>
        <v/>
      </c>
      <c r="CV19" s="97"/>
      <c r="CW19" s="97"/>
      <c r="CX19" s="97"/>
      <c r="CY19" s="97"/>
      <c r="CZ19" s="98"/>
      <c r="DB19" s="96" t="str">
        <f>IF(OR(ISBLANK(Values!$E$5),ISBLANK(Values!$E$6),ISBLANK(Values!$E$7),ISBLANK(Values!$E$8)),"",TRIM(CONCATENATE(Values!$E$5," ▪ ",Values!$E$6,", ",Values!$E$7," ",Values!$E$8)))</f>
        <v/>
      </c>
      <c r="DC19" s="97"/>
      <c r="DD19" s="97"/>
      <c r="DE19" s="97"/>
      <c r="DF19" s="97"/>
      <c r="DG19" s="98"/>
    </row>
    <row r="20" spans="1:111" ht="9.9499999999999993" customHeight="1" x14ac:dyDescent="0.2">
      <c r="A20" s="84" t="s">
        <v>153</v>
      </c>
      <c r="B20" s="85"/>
      <c r="C20" s="85"/>
      <c r="D20" s="82" t="str">
        <f>IF(ISBLANK(Values!$B$3),"",TRIM(CONCATENATE(Values!$B$3)))</f>
        <v/>
      </c>
      <c r="E20" s="82"/>
      <c r="F20" s="83"/>
      <c r="H20" s="84" t="s">
        <v>153</v>
      </c>
      <c r="I20" s="85"/>
      <c r="J20" s="85"/>
      <c r="K20" s="82" t="str">
        <f>IF(ISBLANK(Values!$B$3),"",TRIM(CONCATENATE(Values!$B$3)))</f>
        <v/>
      </c>
      <c r="L20" s="82"/>
      <c r="M20" s="83"/>
      <c r="O20" s="84" t="s">
        <v>153</v>
      </c>
      <c r="P20" s="85"/>
      <c r="Q20" s="85"/>
      <c r="R20" s="82" t="str">
        <f>IF(ISBLANK(Values!$B$3),"",TRIM(CONCATENATE(Values!$B$3)))</f>
        <v/>
      </c>
      <c r="S20" s="82"/>
      <c r="T20" s="83"/>
      <c r="V20" s="84" t="s">
        <v>153</v>
      </c>
      <c r="W20" s="85"/>
      <c r="X20" s="85"/>
      <c r="Y20" s="82" t="str">
        <f>IF(ISBLANK(Values!$B$3),"",TRIM(CONCATENATE(Values!$B$3)))</f>
        <v/>
      </c>
      <c r="Z20" s="82"/>
      <c r="AA20" s="83"/>
      <c r="AC20" s="84" t="s">
        <v>153</v>
      </c>
      <c r="AD20" s="85"/>
      <c r="AE20" s="85"/>
      <c r="AF20" s="82" t="str">
        <f>IF(ISBLANK(Values!$C$3),"",TRIM(CONCATENATE(Values!$C$3)))</f>
        <v/>
      </c>
      <c r="AG20" s="82"/>
      <c r="AH20" s="83"/>
      <c r="AJ20" s="84" t="s">
        <v>153</v>
      </c>
      <c r="AK20" s="85"/>
      <c r="AL20" s="85"/>
      <c r="AM20" s="82" t="str">
        <f>IF(ISBLANK(Values!$C$3),"",TRIM(CONCATENATE(Values!$C$3)))</f>
        <v/>
      </c>
      <c r="AN20" s="82"/>
      <c r="AO20" s="83"/>
      <c r="AQ20" s="84" t="s">
        <v>153</v>
      </c>
      <c r="AR20" s="85"/>
      <c r="AS20" s="85"/>
      <c r="AT20" s="82" t="str">
        <f>IF(ISBLANK(Values!$C$3),"",TRIM(CONCATENATE(Values!$C$3)))</f>
        <v/>
      </c>
      <c r="AU20" s="82"/>
      <c r="AV20" s="83"/>
      <c r="AX20" s="84" t="s">
        <v>153</v>
      </c>
      <c r="AY20" s="85"/>
      <c r="AZ20" s="85"/>
      <c r="BA20" s="82" t="str">
        <f>IF(ISBLANK(Values!$C$3),"",TRIM(CONCATENATE(Values!$C$3)))</f>
        <v/>
      </c>
      <c r="BB20" s="82"/>
      <c r="BC20" s="83"/>
      <c r="BE20" s="84" t="s">
        <v>153</v>
      </c>
      <c r="BF20" s="85"/>
      <c r="BG20" s="85"/>
      <c r="BH20" s="82" t="str">
        <f>IF(ISBLANK(Values!$D$3),"",TRIM(CONCATENATE(Values!$D$3)))</f>
        <v/>
      </c>
      <c r="BI20" s="82"/>
      <c r="BJ20" s="83"/>
      <c r="BL20" s="84" t="s">
        <v>153</v>
      </c>
      <c r="BM20" s="85"/>
      <c r="BN20" s="85"/>
      <c r="BO20" s="82" t="str">
        <f>IF(ISBLANK(Values!$D$3),"",TRIM(CONCATENATE(Values!$D$3)))</f>
        <v/>
      </c>
      <c r="BP20" s="82"/>
      <c r="BQ20" s="83"/>
      <c r="BS20" s="84" t="s">
        <v>153</v>
      </c>
      <c r="BT20" s="85"/>
      <c r="BU20" s="85"/>
      <c r="BV20" s="82" t="str">
        <f>IF(ISBLANK(Values!$D$3),"",TRIM(CONCATENATE(Values!$D$3)))</f>
        <v/>
      </c>
      <c r="BW20" s="82"/>
      <c r="BX20" s="83"/>
      <c r="BZ20" s="84" t="s">
        <v>153</v>
      </c>
      <c r="CA20" s="85"/>
      <c r="CB20" s="85"/>
      <c r="CC20" s="82" t="str">
        <f>IF(ISBLANK(Values!$D$3),"",TRIM(CONCATENATE(Values!$D$3)))</f>
        <v/>
      </c>
      <c r="CD20" s="82"/>
      <c r="CE20" s="83"/>
      <c r="CG20" s="84" t="s">
        <v>153</v>
      </c>
      <c r="CH20" s="85"/>
      <c r="CI20" s="85"/>
      <c r="CJ20" s="82" t="str">
        <f>IF(ISBLANK(Values!$E$3),"",TRIM(CONCATENATE(Values!$E$3)))</f>
        <v/>
      </c>
      <c r="CK20" s="82"/>
      <c r="CL20" s="83"/>
      <c r="CN20" s="84" t="s">
        <v>153</v>
      </c>
      <c r="CO20" s="85"/>
      <c r="CP20" s="85"/>
      <c r="CQ20" s="82" t="str">
        <f>IF(ISBLANK(Values!$E$3),"",TRIM(CONCATENATE(Values!$E$3)))</f>
        <v/>
      </c>
      <c r="CR20" s="82"/>
      <c r="CS20" s="83"/>
      <c r="CU20" s="84" t="s">
        <v>153</v>
      </c>
      <c r="CV20" s="85"/>
      <c r="CW20" s="85"/>
      <c r="CX20" s="82" t="str">
        <f>IF(ISBLANK(Values!$E$3),"",TRIM(CONCATENATE(Values!$E$3)))</f>
        <v/>
      </c>
      <c r="CY20" s="82"/>
      <c r="CZ20" s="83"/>
      <c r="DB20" s="84" t="s">
        <v>153</v>
      </c>
      <c r="DC20" s="85"/>
      <c r="DD20" s="85"/>
      <c r="DE20" s="82" t="str">
        <f>IF(ISBLANK(Values!$E$3),"",TRIM(CONCATENATE(Values!$E$3)))</f>
        <v/>
      </c>
      <c r="DF20" s="82"/>
      <c r="DG20" s="83"/>
    </row>
    <row r="21" spans="1:111" ht="9.9499999999999993" customHeight="1" x14ac:dyDescent="0.2">
      <c r="A21" s="57" t="s">
        <v>14</v>
      </c>
      <c r="B21" s="108" t="str">
        <f>IF(OR(ISBLANK(Values!$B$9),ISBLANK(Values!$B$19),ISBLANK(Values!$B$20),ISBLANK(Values!$B$21),ISBLANK(Values!$B$22)),"",TRIM(CONCATENATE(Values!$B$9," ",Values!$B$19,"; ",Values!$B$21," ",Values!$B$20,"; ",(UPPER(Values!$B$22)))))</f>
        <v/>
      </c>
      <c r="C21" s="108"/>
      <c r="D21" s="108"/>
      <c r="E21" s="108"/>
      <c r="F21" s="109"/>
      <c r="H21" s="57" t="s">
        <v>14</v>
      </c>
      <c r="I21" s="108" t="str">
        <f>IF(OR(ISBLANK(Values!$B$9),ISBLANK(Values!$B$23),ISBLANK(Values!$B$24),ISBLANK(Values!$B$25),ISBLANK(Values!$B$26)),"",TRIM(CONCATENATE(Values!$B$9," ",Values!$B$23,"; ",Values!$B$25," ",Values!$B$24,"; ",(UPPER(Values!$B$26)))))</f>
        <v/>
      </c>
      <c r="J21" s="108"/>
      <c r="K21" s="108"/>
      <c r="L21" s="108"/>
      <c r="M21" s="109"/>
      <c r="O21" s="57" t="s">
        <v>14</v>
      </c>
      <c r="P21" s="108" t="str">
        <f>IF(OR(ISBLANK(Values!$B$9),ISBLANK(Values!$B$27),ISBLANK(Values!$B$28),ISBLANK(Values!$B$29),ISBLANK(Values!$B$30)),"",TRIM(CONCATENATE(Values!$B$9," ",Values!$B$27,"; ",Values!$B$29," ",Values!$B$28,"; ",(UPPER(Values!$B$30)))))</f>
        <v/>
      </c>
      <c r="Q21" s="108"/>
      <c r="R21" s="108"/>
      <c r="S21" s="108"/>
      <c r="T21" s="109"/>
      <c r="V21" s="57" t="s">
        <v>14</v>
      </c>
      <c r="W21" s="108" t="str">
        <f>IF(OR(ISBLANK(Values!$B$9),ISBLANK(Values!$B$31),ISBLANK(Values!$B$32),ISBLANK(Values!$B$33),ISBLANK(Values!$B$34)),"",TRIM(CONCATENATE(Values!$B$9," ",Values!$B$31,"; ",Values!$B$33," ",Values!$B$32,"; ",(UPPER(Values!$B$34)))))</f>
        <v/>
      </c>
      <c r="X21" s="108"/>
      <c r="Y21" s="108"/>
      <c r="Z21" s="108"/>
      <c r="AA21" s="109"/>
      <c r="AC21" s="57" t="s">
        <v>14</v>
      </c>
      <c r="AD21" s="108" t="str">
        <f>IF(OR(ISBLANK(Values!$C$9),ISBLANK(Values!$C$19),ISBLANK(Values!$C$20),ISBLANK(Values!$C$21),ISBLANK(Values!$C$22)),"",TRIM(CONCATENATE(Values!$C$9," ",Values!$C$19,"; ",Values!$C$21," ",Values!$C$20,"; ",(UPPER(Values!$C$22)))))</f>
        <v/>
      </c>
      <c r="AE21" s="108"/>
      <c r="AF21" s="108"/>
      <c r="AG21" s="108"/>
      <c r="AH21" s="109"/>
      <c r="AJ21" s="57" t="s">
        <v>14</v>
      </c>
      <c r="AK21" s="108" t="str">
        <f>IF(OR(ISBLANK(Values!$C$9),ISBLANK(Values!$C$23),ISBLANK(Values!$C$24),ISBLANK(Values!$C$25),ISBLANK(Values!$C$26)),"",TRIM(CONCATENATE(Values!$C$9," ",Values!$C$23,"; ",Values!$C$25," ",Values!$C$24,"; ",(UPPER(Values!$C$26)))))</f>
        <v/>
      </c>
      <c r="AL21" s="108"/>
      <c r="AM21" s="108"/>
      <c r="AN21" s="108"/>
      <c r="AO21" s="109"/>
      <c r="AQ21" s="57" t="s">
        <v>14</v>
      </c>
      <c r="AR21" s="108" t="str">
        <f>IF(OR(ISBLANK(Values!$C$9),ISBLANK(Values!$C$27),ISBLANK(Values!$C$28),ISBLANK(Values!$C$29),ISBLANK(Values!$C$30)),"",TRIM(CONCATENATE(Values!$C$9," ",Values!$C$27,"; ",Values!$C$29," ",Values!$C$28,"; ",(UPPER(Values!$C$30)))))</f>
        <v/>
      </c>
      <c r="AS21" s="108"/>
      <c r="AT21" s="108"/>
      <c r="AU21" s="108"/>
      <c r="AV21" s="109"/>
      <c r="AX21" s="57" t="s">
        <v>14</v>
      </c>
      <c r="AY21" s="108" t="str">
        <f>IF(OR(ISBLANK(Values!$C$9),ISBLANK(Values!$C$31),ISBLANK(Values!$C$32),ISBLANK(Values!$C$33),ISBLANK(Values!$C$34)),"",TRIM(CONCATENATE(Values!$C$9," ",Values!$C$31,"; ",Values!$C$33," ",Values!$C$32,"; ",(UPPER(Values!$C$34)))))</f>
        <v/>
      </c>
      <c r="AZ21" s="108"/>
      <c r="BA21" s="108"/>
      <c r="BB21" s="108"/>
      <c r="BC21" s="109"/>
      <c r="BE21" s="57" t="s">
        <v>14</v>
      </c>
      <c r="BF21" s="108" t="str">
        <f>IF(OR(ISBLANK(Values!$D$9),ISBLANK(Values!$D$19),ISBLANK(Values!$D$20),ISBLANK(Values!$D$21),ISBLANK(Values!$D$22)),"",TRIM(CONCATENATE(Values!$D$9," ",Values!$D$19,"; ",Values!$D$21," ",Values!$D$20,"; ",(UPPER(Values!$D$22)))))</f>
        <v/>
      </c>
      <c r="BG21" s="108"/>
      <c r="BH21" s="108"/>
      <c r="BI21" s="108"/>
      <c r="BJ21" s="109"/>
      <c r="BL21" s="57" t="s">
        <v>14</v>
      </c>
      <c r="BM21" s="108" t="str">
        <f>IF(OR(ISBLANK(Values!$D$9),ISBLANK(Values!$D$23),ISBLANK(Values!$D$24),ISBLANK(Values!$D$25),ISBLANK(Values!$D$26)),"",TRIM(CONCATENATE(Values!$D$9," ",Values!$D$23,"; ",Values!$D$25," ",Values!$D$24,"; ",(UPPER(Values!$D$26)))))</f>
        <v/>
      </c>
      <c r="BN21" s="108"/>
      <c r="BO21" s="108"/>
      <c r="BP21" s="108"/>
      <c r="BQ21" s="109"/>
      <c r="BS21" s="57" t="s">
        <v>14</v>
      </c>
      <c r="BT21" s="108" t="str">
        <f>IF(OR(ISBLANK(Values!$D$9),ISBLANK(Values!$D$27),ISBLANK(Values!$D$28),ISBLANK(Values!$D$29),ISBLANK(Values!$D$30)),"",TRIM(CONCATENATE(Values!$D$9," ",Values!$D$27,"; ",Values!$D$29," ",Values!$D$28,"; ",(UPPER(Values!$D$30)))))</f>
        <v/>
      </c>
      <c r="BU21" s="108"/>
      <c r="BV21" s="108"/>
      <c r="BW21" s="108"/>
      <c r="BX21" s="109"/>
      <c r="BZ21" s="57" t="s">
        <v>14</v>
      </c>
      <c r="CA21" s="108" t="str">
        <f>IF(OR(ISBLANK(Values!$D$9),ISBLANK(Values!$D$31),ISBLANK(Values!$D$32),ISBLANK(Values!$D$33),ISBLANK(Values!$D$34)),"",TRIM(CONCATENATE(Values!$D$9," ",Values!$D$31,"; ",Values!$D$33," ",Values!$D$32,"; ",(UPPER(Values!$D$34)))))</f>
        <v/>
      </c>
      <c r="CB21" s="108"/>
      <c r="CC21" s="108"/>
      <c r="CD21" s="108"/>
      <c r="CE21" s="109"/>
      <c r="CG21" s="57" t="s">
        <v>14</v>
      </c>
      <c r="CH21" s="108" t="str">
        <f>IF(OR(ISBLANK(Values!$E$9),ISBLANK(Values!$E$19),ISBLANK(Values!$E$20),ISBLANK(Values!$E$21),ISBLANK(Values!$E$22)),"",TRIM(CONCATENATE(Values!$E$9," ",Values!$E$19,"; ",Values!$E$21," ",Values!$E$20,"; ",(UPPER(Values!$E$22)))))</f>
        <v/>
      </c>
      <c r="CI21" s="108"/>
      <c r="CJ21" s="108"/>
      <c r="CK21" s="108"/>
      <c r="CL21" s="109"/>
      <c r="CN21" s="57" t="s">
        <v>14</v>
      </c>
      <c r="CO21" s="108" t="str">
        <f>IF(OR(ISBLANK(Values!$E$9),ISBLANK(Values!$E$23),ISBLANK(Values!$E$24),ISBLANK(Values!$E$25),ISBLANK(Values!$E$26)),"",TRIM(CONCATENATE(Values!$E$9," ",Values!$E$23,"; ",Values!$E$25," ",Values!$E$24,"; ",(UPPER(Values!$E$26)))))</f>
        <v/>
      </c>
      <c r="CP21" s="108"/>
      <c r="CQ21" s="108"/>
      <c r="CR21" s="108"/>
      <c r="CS21" s="109"/>
      <c r="CU21" s="57" t="s">
        <v>14</v>
      </c>
      <c r="CV21" s="108" t="str">
        <f>IF(OR(ISBLANK(Values!$E$9),ISBLANK(Values!$E$27),ISBLANK(Values!$E$28),ISBLANK(Values!$E$29),ISBLANK(Values!$E$30)),"",TRIM(CONCATENATE(Values!$E$9," ",Values!$E$27,"; ",Values!$E$29," ",Values!$E$28,"; ",(UPPER(Values!$E$30)))))</f>
        <v/>
      </c>
      <c r="CW21" s="108"/>
      <c r="CX21" s="108"/>
      <c r="CY21" s="108"/>
      <c r="CZ21" s="109"/>
      <c r="DB21" s="57" t="s">
        <v>14</v>
      </c>
      <c r="DC21" s="108" t="str">
        <f>IF(OR(ISBLANK(Values!$E$9),ISBLANK(Values!$E$31),ISBLANK(Values!$E$32),ISBLANK(Values!$E$33),ISBLANK(Values!$E$34)),"",TRIM(CONCATENATE(Values!$E$9," ",Values!$E$31,"; ",Values!$E$33," ",Values!$E$32,"; ",(UPPER(Values!$E$34)))))</f>
        <v/>
      </c>
      <c r="DD21" s="108"/>
      <c r="DE21" s="108"/>
      <c r="DF21" s="108"/>
      <c r="DG21" s="109"/>
    </row>
    <row r="22" spans="1:111" ht="15" customHeight="1" x14ac:dyDescent="0.2">
      <c r="A22" s="58" t="s">
        <v>15</v>
      </c>
      <c r="B22" s="82" t="str">
        <f ca="1">IF(ISBLANK(Values!$B$10),TEXT(TODAY(),"yyyymmdd"),TEXT(Values!$B$10,"yyyymmdd"))</f>
        <v>20231129</v>
      </c>
      <c r="C22" s="82"/>
      <c r="D22" s="110" t="s">
        <v>16</v>
      </c>
      <c r="E22" s="110"/>
      <c r="F22" s="111"/>
      <c r="H22" s="58" t="s">
        <v>15</v>
      </c>
      <c r="I22" s="82" t="str">
        <f ca="1">IF(ISBLANK(Values!$B$10),TEXT(TODAY(),"yyyymmdd"),TEXT(Values!$B$10,"yyyymmdd"))</f>
        <v>20231129</v>
      </c>
      <c r="J22" s="82"/>
      <c r="K22" s="110" t="s">
        <v>16</v>
      </c>
      <c r="L22" s="110"/>
      <c r="M22" s="111"/>
      <c r="O22" s="58" t="s">
        <v>15</v>
      </c>
      <c r="P22" s="82" t="str">
        <f ca="1">IF(ISBLANK(Values!$B$10),TEXT(TODAY(),"yyyymmdd"),TEXT(Values!$B$10,"yyyymmdd"))</f>
        <v>20231129</v>
      </c>
      <c r="Q22" s="82"/>
      <c r="R22" s="110" t="s">
        <v>16</v>
      </c>
      <c r="S22" s="110"/>
      <c r="T22" s="111"/>
      <c r="V22" s="58" t="s">
        <v>15</v>
      </c>
      <c r="W22" s="82" t="str">
        <f ca="1">IF(ISBLANK(Values!$B$10),TEXT(TODAY(),"yyyymmdd"),TEXT(Values!$B$10,"yyyymmdd"))</f>
        <v>20231129</v>
      </c>
      <c r="X22" s="82"/>
      <c r="Y22" s="110" t="s">
        <v>16</v>
      </c>
      <c r="Z22" s="110"/>
      <c r="AA22" s="111"/>
      <c r="AC22" s="58" t="s">
        <v>15</v>
      </c>
      <c r="AD22" s="82" t="str">
        <f ca="1">IF(ISBLANK(Values!$C$10),TEXT(TODAY(),"yyyymmdd"),TEXT(Values!$C$10,"yyyymmdd"))</f>
        <v>20231129</v>
      </c>
      <c r="AE22" s="82"/>
      <c r="AF22" s="110" t="s">
        <v>16</v>
      </c>
      <c r="AG22" s="110"/>
      <c r="AH22" s="111"/>
      <c r="AJ22" s="58" t="s">
        <v>15</v>
      </c>
      <c r="AK22" s="82" t="str">
        <f ca="1">IF(ISBLANK(Values!$C$10),TEXT(TODAY(),"yyyymmdd"),TEXT(Values!$C$10,"yyyymmdd"))</f>
        <v>20231129</v>
      </c>
      <c r="AL22" s="82"/>
      <c r="AM22" s="110" t="s">
        <v>16</v>
      </c>
      <c r="AN22" s="110"/>
      <c r="AO22" s="111"/>
      <c r="AQ22" s="58" t="s">
        <v>15</v>
      </c>
      <c r="AR22" s="82" t="str">
        <f ca="1">IF(ISBLANK(Values!$C$10),TEXT(TODAY(),"yyyymmdd"),TEXT(Values!$C$10,"yyyymmdd"))</f>
        <v>20231129</v>
      </c>
      <c r="AS22" s="82"/>
      <c r="AT22" s="110" t="s">
        <v>16</v>
      </c>
      <c r="AU22" s="110"/>
      <c r="AV22" s="111"/>
      <c r="AX22" s="58" t="s">
        <v>15</v>
      </c>
      <c r="AY22" s="82" t="str">
        <f ca="1">IF(ISBLANK(Values!$C$10),TEXT(TODAY(),"yyyymmdd"),TEXT(Values!$C$10,"yyyymmdd"))</f>
        <v>20231129</v>
      </c>
      <c r="AZ22" s="82"/>
      <c r="BA22" s="110" t="s">
        <v>16</v>
      </c>
      <c r="BB22" s="110"/>
      <c r="BC22" s="111"/>
      <c r="BE22" s="58" t="s">
        <v>15</v>
      </c>
      <c r="BF22" s="82" t="str">
        <f ca="1">IF(ISBLANK(Values!$D$10),TEXT(TODAY(),"yyyymmdd"),TEXT(Values!$D$10,"yyyymmdd"))</f>
        <v>20231129</v>
      </c>
      <c r="BG22" s="82"/>
      <c r="BH22" s="110" t="s">
        <v>16</v>
      </c>
      <c r="BI22" s="110"/>
      <c r="BJ22" s="111"/>
      <c r="BL22" s="58" t="s">
        <v>15</v>
      </c>
      <c r="BM22" s="82" t="str">
        <f ca="1">IF(ISBLANK(Values!$D$10),TEXT(TODAY(),"yyyymmdd"),TEXT(Values!$D$10,"yyyymmdd"))</f>
        <v>20231129</v>
      </c>
      <c r="BN22" s="82"/>
      <c r="BO22" s="110" t="s">
        <v>16</v>
      </c>
      <c r="BP22" s="110"/>
      <c r="BQ22" s="111"/>
      <c r="BS22" s="58" t="s">
        <v>15</v>
      </c>
      <c r="BT22" s="82" t="str">
        <f ca="1">IF(ISBLANK(Values!$D$10),TEXT(TODAY(),"yyyymmdd"),TEXT(Values!$D$10,"yyyymmdd"))</f>
        <v>20231129</v>
      </c>
      <c r="BU22" s="82"/>
      <c r="BV22" s="110" t="s">
        <v>16</v>
      </c>
      <c r="BW22" s="110"/>
      <c r="BX22" s="111"/>
      <c r="BZ22" s="58" t="s">
        <v>15</v>
      </c>
      <c r="CA22" s="82" t="str">
        <f ca="1">IF(ISBLANK(Values!$D$10),TEXT(TODAY(),"yyyymmdd"),TEXT(Values!$D$10,"yyyymmdd"))</f>
        <v>20231129</v>
      </c>
      <c r="CB22" s="82"/>
      <c r="CC22" s="110" t="s">
        <v>16</v>
      </c>
      <c r="CD22" s="110"/>
      <c r="CE22" s="111"/>
      <c r="CG22" s="58" t="s">
        <v>15</v>
      </c>
      <c r="CH22" s="82" t="str">
        <f ca="1">IF(ISBLANK(Values!$E$10),TEXT(TODAY(),"yyyymmdd"),TEXT(Values!$E$10,"yyyymmdd"))</f>
        <v>20231129</v>
      </c>
      <c r="CI22" s="82"/>
      <c r="CJ22" s="110" t="s">
        <v>16</v>
      </c>
      <c r="CK22" s="110"/>
      <c r="CL22" s="111"/>
      <c r="CN22" s="58" t="s">
        <v>15</v>
      </c>
      <c r="CO22" s="82" t="str">
        <f ca="1">IF(ISBLANK(Values!$E$10),TEXT(TODAY(),"yyyymmdd"),TEXT(Values!$E$10,"yyyymmdd"))</f>
        <v>20231129</v>
      </c>
      <c r="CP22" s="82"/>
      <c r="CQ22" s="110" t="s">
        <v>16</v>
      </c>
      <c r="CR22" s="110"/>
      <c r="CS22" s="111"/>
      <c r="CU22" s="58" t="s">
        <v>15</v>
      </c>
      <c r="CV22" s="82" t="str">
        <f ca="1">IF(ISBLANK(Values!$E$10),TEXT(TODAY(),"yyyymmdd"),TEXT(Values!$E$10,"yyyymmdd"))</f>
        <v>20231129</v>
      </c>
      <c r="CW22" s="82"/>
      <c r="CX22" s="110" t="s">
        <v>16</v>
      </c>
      <c r="CY22" s="110"/>
      <c r="CZ22" s="111"/>
      <c r="DB22" s="58" t="s">
        <v>15</v>
      </c>
      <c r="DC22" s="82" t="str">
        <f ca="1">IF(ISBLANK(Values!$E$10),TEXT(TODAY(),"yyyymmdd"),TEXT(Values!$E$10,"yyyymmdd"))</f>
        <v>20231129</v>
      </c>
      <c r="DD22" s="82"/>
      <c r="DE22" s="110" t="s">
        <v>16</v>
      </c>
      <c r="DF22" s="110"/>
      <c r="DG22" s="111"/>
    </row>
    <row r="23" spans="1:111" ht="9.9499999999999993" customHeight="1" x14ac:dyDescent="0.2">
      <c r="A23" s="84" t="s">
        <v>17</v>
      </c>
      <c r="B23" s="85"/>
      <c r="C23" s="86" t="str">
        <f>IF(AND(ISBLANK(Values!$B$17),ISBLANK(Values!$B$18)),"",IF(AND(ISBLANK(Values!$B$17),Values!$B$18&lt;&gt;""),Values!$B$18,IF(AND(Values!$B$17&lt;&gt;"",ISBLANK(Values!$B$18)),Values!$B$17,TRIM(CONCATENATE(Values!$B$17," (",Values!$B$18,")")))))</f>
        <v/>
      </c>
      <c r="D23" s="82"/>
      <c r="E23" s="82"/>
      <c r="F23" s="59"/>
      <c r="H23" s="84" t="s">
        <v>17</v>
      </c>
      <c r="I23" s="85"/>
      <c r="J23" s="86" t="str">
        <f>IF(AND(ISBLANK(Values!$B$17),ISBLANK(Values!$B$18)),"",IF(AND(ISBLANK(Values!$B$17),Values!$B$18&lt;&gt;""),Values!$B$18,IF(AND(Values!$B$17&lt;&gt;"",ISBLANK(Values!$B$18)),Values!$B$17,TRIM(CONCATENATE(Values!$B$17," (",Values!$B$18,")")))))</f>
        <v/>
      </c>
      <c r="K23" s="82"/>
      <c r="L23" s="82"/>
      <c r="M23" s="59"/>
      <c r="O23" s="84" t="s">
        <v>17</v>
      </c>
      <c r="P23" s="85"/>
      <c r="Q23" s="86" t="str">
        <f>IF(AND(ISBLANK(Values!$B$17),ISBLANK(Values!$B$18)),"",IF(AND(ISBLANK(Values!$B$17),Values!$B$18&lt;&gt;""),Values!$B$18,IF(AND(Values!$B$17&lt;&gt;"",ISBLANK(Values!$B$18)),Values!$B$17,TRIM(CONCATENATE(Values!$B$17," (",Values!$B$18,")")))))</f>
        <v/>
      </c>
      <c r="R23" s="82"/>
      <c r="S23" s="82"/>
      <c r="T23" s="59"/>
      <c r="V23" s="84" t="s">
        <v>17</v>
      </c>
      <c r="W23" s="85"/>
      <c r="X23" s="86" t="str">
        <f>IF(AND(ISBLANK(Values!$B$17),ISBLANK(Values!$B$18)),"",IF(AND(ISBLANK(Values!$B$17),Values!$B$18&lt;&gt;""),Values!$B$18,IF(AND(Values!$B$17&lt;&gt;"",ISBLANK(Values!$B$18)),Values!$B$17,TRIM(CONCATENATE(Values!$B$17," (",Values!$B$18,")")))))</f>
        <v/>
      </c>
      <c r="Y23" s="82"/>
      <c r="Z23" s="82"/>
      <c r="AA23" s="59"/>
      <c r="AC23" s="84" t="s">
        <v>17</v>
      </c>
      <c r="AD23" s="85"/>
      <c r="AE23" s="86" t="str">
        <f>IF(AND(ISBLANK(Values!$C$17),ISBLANK(Values!$C$18)),"",IF(AND(ISBLANK(Values!$C$17),Values!$C$18&lt;&gt;""),Values!$C$18,IF(AND(Values!$C$17&lt;&gt;"",ISBLANK(Values!$C$18)),Values!$C$17,TRIM(CONCATENATE(Values!$C$17," (",Values!$C$18,")")))))</f>
        <v/>
      </c>
      <c r="AF23" s="82"/>
      <c r="AG23" s="82"/>
      <c r="AH23" s="59"/>
      <c r="AJ23" s="84" t="s">
        <v>17</v>
      </c>
      <c r="AK23" s="85"/>
      <c r="AL23" s="86" t="str">
        <f>IF(AND(ISBLANK(Values!$C$17),ISBLANK(Values!$C$18)),"",IF(AND(ISBLANK(Values!$C$17),Values!$C$18&lt;&gt;""),Values!$C$18,IF(AND(Values!$C$17&lt;&gt;"",ISBLANK(Values!$C$18)),Values!$C$17,TRIM(CONCATENATE(Values!$C$17," (",Values!$C$18,")")))))</f>
        <v/>
      </c>
      <c r="AM23" s="82"/>
      <c r="AN23" s="82"/>
      <c r="AO23" s="59"/>
      <c r="AQ23" s="84" t="s">
        <v>17</v>
      </c>
      <c r="AR23" s="85"/>
      <c r="AS23" s="86" t="str">
        <f>IF(AND(ISBLANK(Values!$C$17),ISBLANK(Values!$C$18)),"",IF(AND(ISBLANK(Values!$C$17),Values!$C$18&lt;&gt;""),Values!$C$18,IF(AND(Values!$C$17&lt;&gt;"",ISBLANK(Values!$C$18)),Values!$C$17,TRIM(CONCATENATE(Values!$C$17," (",Values!$C$18,")")))))</f>
        <v/>
      </c>
      <c r="AT23" s="82"/>
      <c r="AU23" s="82"/>
      <c r="AV23" s="59"/>
      <c r="AX23" s="84" t="s">
        <v>17</v>
      </c>
      <c r="AY23" s="85"/>
      <c r="AZ23" s="86" t="str">
        <f>IF(AND(ISBLANK(Values!$C$17),ISBLANK(Values!$C$18)),"",IF(AND(ISBLANK(Values!$C$17),Values!$C$18&lt;&gt;""),Values!$C$18,IF(AND(Values!$C$17&lt;&gt;"",ISBLANK(Values!$C$18)),Values!$C$17,TRIM(CONCATENATE(Values!$C$17," (",Values!$C$18,")")))))</f>
        <v/>
      </c>
      <c r="BA23" s="82"/>
      <c r="BB23" s="82"/>
      <c r="BC23" s="59"/>
      <c r="BE23" s="84" t="s">
        <v>17</v>
      </c>
      <c r="BF23" s="85"/>
      <c r="BG23" s="86" t="str">
        <f>IF(AND(ISBLANK(Values!$D$17),ISBLANK(Values!$D$18)),"",IF(AND(ISBLANK(Values!$D$17),Values!$D$18&lt;&gt;""),Values!$D$18,IF(AND(Values!$D$17&lt;&gt;"",ISBLANK(Values!$D$18)),Values!$D$17,TRIM(CONCATENATE(Values!$D$17," (",Values!$D$18,")")))))</f>
        <v/>
      </c>
      <c r="BH23" s="82"/>
      <c r="BI23" s="82"/>
      <c r="BJ23" s="59"/>
      <c r="BL23" s="84" t="s">
        <v>17</v>
      </c>
      <c r="BM23" s="85"/>
      <c r="BN23" s="86" t="str">
        <f>IF(AND(ISBLANK(Values!$D$17),ISBLANK(Values!$D$18)),"",IF(AND(ISBLANK(Values!$D$17),Values!$D$18&lt;&gt;""),Values!$D$18,IF(AND(Values!$D$17&lt;&gt;"",ISBLANK(Values!$D$18)),Values!$D$17,TRIM(CONCATENATE(Values!$D$17," (",Values!$D$18,")")))))</f>
        <v/>
      </c>
      <c r="BO23" s="82"/>
      <c r="BP23" s="82"/>
      <c r="BQ23" s="59"/>
      <c r="BS23" s="84" t="s">
        <v>17</v>
      </c>
      <c r="BT23" s="85"/>
      <c r="BU23" s="86" t="str">
        <f>IF(AND(ISBLANK(Values!$D$17),ISBLANK(Values!$D$18)),"",IF(AND(ISBLANK(Values!$D$17),Values!$D$18&lt;&gt;""),Values!$D$18,IF(AND(Values!$D$17&lt;&gt;"",ISBLANK(Values!$D$18)),Values!$D$17,TRIM(CONCATENATE(Values!$D$17," (",Values!$D$18,")")))))</f>
        <v/>
      </c>
      <c r="BV23" s="82"/>
      <c r="BW23" s="82"/>
      <c r="BX23" s="59"/>
      <c r="BZ23" s="84" t="s">
        <v>17</v>
      </c>
      <c r="CA23" s="85"/>
      <c r="CB23" s="86" t="str">
        <f>IF(AND(ISBLANK(Values!$D$17),ISBLANK(Values!$D$18)),"",IF(AND(ISBLANK(Values!$D$17),Values!$D$18&lt;&gt;""),Values!$D$18,IF(AND(Values!$D$17&lt;&gt;"",ISBLANK(Values!$D$18)),Values!$D$17,TRIM(CONCATENATE(Values!$D$17," (",Values!$D$18,")")))))</f>
        <v/>
      </c>
      <c r="CC23" s="82"/>
      <c r="CD23" s="82"/>
      <c r="CE23" s="59"/>
      <c r="CG23" s="84" t="s">
        <v>17</v>
      </c>
      <c r="CH23" s="85"/>
      <c r="CI23" s="86" t="str">
        <f>IF(AND(ISBLANK(Values!$E$17),ISBLANK(Values!$E$18)),"",IF(AND(ISBLANK(Values!$E$17),Values!$E$18&lt;&gt;""),Values!$E$18,IF(AND(Values!$E$17&lt;&gt;"",ISBLANK(Values!$E$18)),Values!$E$17,TRIM(CONCATENATE(Values!$E$17," (",Values!$E$18,")")))))</f>
        <v/>
      </c>
      <c r="CJ23" s="82"/>
      <c r="CK23" s="82"/>
      <c r="CL23" s="59"/>
      <c r="CN23" s="84" t="s">
        <v>17</v>
      </c>
      <c r="CO23" s="85"/>
      <c r="CP23" s="86" t="str">
        <f>IF(AND(ISBLANK(Values!$E$17),ISBLANK(Values!$E$18)),"",IF(AND(ISBLANK(Values!$E$17),Values!$E$18&lt;&gt;""),Values!$E$18,IF(AND(Values!$E$17&lt;&gt;"",ISBLANK(Values!$E$18)),Values!$E$17,TRIM(CONCATENATE(Values!$E$17," (",Values!$E$18,")")))))</f>
        <v/>
      </c>
      <c r="CQ23" s="82"/>
      <c r="CR23" s="82"/>
      <c r="CS23" s="59"/>
      <c r="CU23" s="84" t="s">
        <v>17</v>
      </c>
      <c r="CV23" s="85"/>
      <c r="CW23" s="86" t="str">
        <f>IF(AND(ISBLANK(Values!$E$17),ISBLANK(Values!$E$18)),"",IF(AND(ISBLANK(Values!$E$17),Values!$E$18&lt;&gt;""),Values!$E$18,IF(AND(Values!$E$17&lt;&gt;"",ISBLANK(Values!$E$18)),Values!$E$17,TRIM(CONCATENATE(Values!$E$17," (",Values!$E$18,")")))))</f>
        <v/>
      </c>
      <c r="CX23" s="82"/>
      <c r="CY23" s="82"/>
      <c r="CZ23" s="59"/>
      <c r="DB23" s="84" t="s">
        <v>17</v>
      </c>
      <c r="DC23" s="85"/>
      <c r="DD23" s="86" t="str">
        <f>IF(AND(ISBLANK(Values!$E$17),ISBLANK(Values!$E$18)),"",IF(AND(ISBLANK(Values!$E$17),Values!$E$18&lt;&gt;""),Values!$E$18,IF(AND(Values!$E$17&lt;&gt;"",ISBLANK(Values!$E$18)),Values!$E$17,TRIM(CONCATENATE(Values!$E$17," (",Values!$E$18,")")))))</f>
        <v/>
      </c>
      <c r="DE23" s="82"/>
      <c r="DF23" s="82"/>
      <c r="DG23" s="59"/>
    </row>
    <row r="24" spans="1:111" ht="9.9499999999999993" customHeight="1" x14ac:dyDescent="0.2">
      <c r="A24" s="84" t="s">
        <v>18</v>
      </c>
      <c r="B24" s="85"/>
      <c r="C24" s="82" t="str">
        <f>IF(ISBLANK(Values!$B$11),"",IF(Values!$B$11="Multiple",Values!$B$11,TRIM(CONCATENATE(Values!$B$11,"; ",TEXT(Values!$B$12,"mm/dd/yyyy")))))</f>
        <v/>
      </c>
      <c r="D24" s="82"/>
      <c r="E24" s="82"/>
      <c r="F24" s="83"/>
      <c r="H24" s="84" t="s">
        <v>18</v>
      </c>
      <c r="I24" s="85"/>
      <c r="J24" s="82" t="str">
        <f>IF(ISBLANK(Values!$B$11),"",IF(Values!$B$11="Multiple",Values!$B$11,TRIM(CONCATENATE(Values!$B$11,"; ",TEXT(Values!$B$12,"mm/dd/yyyy")))))</f>
        <v/>
      </c>
      <c r="K24" s="82"/>
      <c r="L24" s="82"/>
      <c r="M24" s="83"/>
      <c r="O24" s="84" t="s">
        <v>18</v>
      </c>
      <c r="P24" s="85"/>
      <c r="Q24" s="82" t="str">
        <f>IF(ISBLANK(Values!$B$11),"",IF(Values!$B$11="Multiple",Values!$B$11,TRIM(CONCATENATE(Values!$B$11,"; ",TEXT(Values!$B$12,"mm/dd/yyyy")))))</f>
        <v/>
      </c>
      <c r="R24" s="82"/>
      <c r="S24" s="82"/>
      <c r="T24" s="83"/>
      <c r="V24" s="84" t="s">
        <v>18</v>
      </c>
      <c r="W24" s="85"/>
      <c r="X24" s="82" t="str">
        <f>IF(ISBLANK(Values!$B$11),"",IF(Values!$B$11="Multiple",Values!$B$11,TRIM(CONCATENATE(Values!$B$11,"; ",TEXT(Values!$B$12,"mm/dd/yyyy")))))</f>
        <v/>
      </c>
      <c r="Y24" s="82"/>
      <c r="Z24" s="82"/>
      <c r="AA24" s="83"/>
      <c r="AC24" s="84" t="s">
        <v>18</v>
      </c>
      <c r="AD24" s="85"/>
      <c r="AE24" s="82" t="str">
        <f>IF(ISBLANK(Values!$C$11),"",IF(Values!$C$11="Multiple",Values!$C$11,TRIM(CONCATENATE(Values!$C$11,"; ",TEXT(Values!$C$12,"mm/dd/yyyy")))))</f>
        <v/>
      </c>
      <c r="AF24" s="82"/>
      <c r="AG24" s="82"/>
      <c r="AH24" s="83"/>
      <c r="AJ24" s="84" t="s">
        <v>18</v>
      </c>
      <c r="AK24" s="85"/>
      <c r="AL24" s="82" t="str">
        <f>IF(ISBLANK(Values!$C$11),"",IF(Values!$C$11="Multiple",Values!$C$11,TRIM(CONCATENATE(Values!$C$11,"; ",TEXT(Values!$C$12,"mm/dd/yyyy")))))</f>
        <v/>
      </c>
      <c r="AM24" s="82"/>
      <c r="AN24" s="82"/>
      <c r="AO24" s="83"/>
      <c r="AQ24" s="84" t="s">
        <v>18</v>
      </c>
      <c r="AR24" s="85"/>
      <c r="AS24" s="82" t="str">
        <f>IF(ISBLANK(Values!$C$11),"",IF(Values!$C$11="Multiple",Values!$C$11,TRIM(CONCATENATE(Values!$C$11,"; ",TEXT(Values!$C$12,"mm/dd/yyyy")))))</f>
        <v/>
      </c>
      <c r="AT24" s="82"/>
      <c r="AU24" s="82"/>
      <c r="AV24" s="83"/>
      <c r="AX24" s="84" t="s">
        <v>18</v>
      </c>
      <c r="AY24" s="85"/>
      <c r="AZ24" s="82" t="str">
        <f>IF(ISBLANK(Values!$C$11),"",IF(Values!$C$11="Multiple",Values!$C$11,TRIM(CONCATENATE(Values!$C$11,"; ",TEXT(Values!$C$12,"mm/dd/yyyy")))))</f>
        <v/>
      </c>
      <c r="BA24" s="82"/>
      <c r="BB24" s="82"/>
      <c r="BC24" s="83"/>
      <c r="BE24" s="84" t="s">
        <v>18</v>
      </c>
      <c r="BF24" s="85"/>
      <c r="BG24" s="82" t="str">
        <f>IF(ISBLANK(Values!$D$11),"",IF(Values!$D$11="Multiple",Values!$D$11,TRIM(CONCATENATE(Values!$D$11,"; ",TEXT(Values!$D$12,"mm/dd/yyyy")))))</f>
        <v/>
      </c>
      <c r="BH24" s="82"/>
      <c r="BI24" s="82"/>
      <c r="BJ24" s="83"/>
      <c r="BL24" s="84" t="s">
        <v>18</v>
      </c>
      <c r="BM24" s="85"/>
      <c r="BN24" s="82" t="str">
        <f>IF(ISBLANK(Values!$D$11),"",IF(Values!$D$11="Multiple",Values!$D$11,TRIM(CONCATENATE(Values!$D$11,"; ",TEXT(Values!$D$12,"mm/dd/yyyy")))))</f>
        <v/>
      </c>
      <c r="BO24" s="82"/>
      <c r="BP24" s="82"/>
      <c r="BQ24" s="83"/>
      <c r="BS24" s="84" t="s">
        <v>18</v>
      </c>
      <c r="BT24" s="85"/>
      <c r="BU24" s="82" t="str">
        <f>IF(ISBLANK(Values!$D$11),"",IF(Values!$D$11="Multiple",Values!$D$11,TRIM(CONCATENATE(Values!$D$11,"; ",TEXT(Values!$D$12,"mm/dd/yyyy")))))</f>
        <v/>
      </c>
      <c r="BV24" s="82"/>
      <c r="BW24" s="82"/>
      <c r="BX24" s="83"/>
      <c r="BZ24" s="84" t="s">
        <v>18</v>
      </c>
      <c r="CA24" s="85"/>
      <c r="CB24" s="82" t="str">
        <f>IF(ISBLANK(Values!$D$11),"",IF(Values!$D$11="Multiple",Values!$D$11,TRIM(CONCATENATE(Values!$D$11,"; ",TEXT(Values!$D$12,"mm/dd/yyyy")))))</f>
        <v/>
      </c>
      <c r="CC24" s="82"/>
      <c r="CD24" s="82"/>
      <c r="CE24" s="83"/>
      <c r="CG24" s="84" t="s">
        <v>18</v>
      </c>
      <c r="CH24" s="85"/>
      <c r="CI24" s="82" t="str">
        <f>IF(ISBLANK(Values!$E$11),"",IF(Values!$E$11="Multiple",Values!$E$11,TRIM(CONCATENATE(Values!$E$11,"; ",TEXT(Values!$E$12,"mm/dd/yyyy")))))</f>
        <v/>
      </c>
      <c r="CJ24" s="82"/>
      <c r="CK24" s="82"/>
      <c r="CL24" s="83"/>
      <c r="CN24" s="84" t="s">
        <v>18</v>
      </c>
      <c r="CO24" s="85"/>
      <c r="CP24" s="82" t="str">
        <f>IF(ISBLANK(Values!$E$11),"",IF(Values!$E$11="Multiple",Values!$E$11,TRIM(CONCATENATE(Values!$E$11,"; ",TEXT(Values!$E$12,"mm/dd/yyyy")))))</f>
        <v/>
      </c>
      <c r="CQ24" s="82"/>
      <c r="CR24" s="82"/>
      <c r="CS24" s="83"/>
      <c r="CU24" s="84" t="s">
        <v>18</v>
      </c>
      <c r="CV24" s="85"/>
      <c r="CW24" s="82" t="str">
        <f>IF(ISBLANK(Values!$E$11),"",IF(Values!$E$11="Multiple",Values!$E$11,TRIM(CONCATENATE(Values!$E$11,"; ",TEXT(Values!$E$12,"mm/dd/yyyy")))))</f>
        <v/>
      </c>
      <c r="CX24" s="82"/>
      <c r="CY24" s="82"/>
      <c r="CZ24" s="83"/>
      <c r="DB24" s="84" t="s">
        <v>18</v>
      </c>
      <c r="DC24" s="85"/>
      <c r="DD24" s="82" t="str">
        <f>IF(ISBLANK(Values!$E$11),"",IF(Values!$E$11="Multiple",Values!$E$11,TRIM(CONCATENATE(Values!$E$11,"; ",TEXT(Values!$E$12,"mm/dd/yyyy")))))</f>
        <v/>
      </c>
      <c r="DE24" s="82"/>
      <c r="DF24" s="82"/>
      <c r="DG24" s="83"/>
    </row>
    <row r="25" spans="1:111" ht="9.9499999999999993" customHeight="1" thickBot="1" x14ac:dyDescent="0.25">
      <c r="A25" s="84" t="s">
        <v>19</v>
      </c>
      <c r="B25" s="85"/>
      <c r="C25" s="86" t="str">
        <f ca="1">IF(ISBLANK(Values!$B$13),"",IF(ISBLANK(Values!$B$10),TEXT(DATE(YEAR(TODAY())+Values!$B$13,MONTH(TODAY()),DAY(TODAY())),"yyyymmdd"),TEXT(DATE(YEAR(Values!$B$10)+Values!$B$13,MONTH(Values!$B$10),DAY(Values!$B$10)),"yyyymmdd")))</f>
        <v/>
      </c>
      <c r="D25" s="86"/>
      <c r="E25" s="173" t="s">
        <v>154</v>
      </c>
      <c r="F25" s="174" t="str">
        <f>IF(ISBLANK(Values!$B$16),"",TRIM(CONCATENATE(Values!$B$16)))</f>
        <v/>
      </c>
      <c r="H25" s="84" t="s">
        <v>19</v>
      </c>
      <c r="I25" s="85"/>
      <c r="J25" s="86" t="str">
        <f ca="1">IF(ISBLANK(Values!$B$13),"",IF(ISBLANK(Values!$B$10),TEXT(DATE(YEAR(TODAY())+Values!$B$13,MONTH(TODAY()),DAY(TODAY())),"yyyymmdd"),TEXT(DATE(YEAR(Values!$B$10)+Values!$B$13,MONTH(Values!$B$10),DAY(Values!$B$10)),"yyyymmdd")))</f>
        <v/>
      </c>
      <c r="K25" s="86"/>
      <c r="L25" s="173" t="s">
        <v>154</v>
      </c>
      <c r="M25" s="174" t="str">
        <f>IF(ISBLANK(Values!$B$16),"",TRIM(CONCATENATE(Values!$B$16)))</f>
        <v/>
      </c>
      <c r="O25" s="84" t="s">
        <v>19</v>
      </c>
      <c r="P25" s="85"/>
      <c r="Q25" s="86" t="str">
        <f ca="1">IF(ISBLANK(Values!$B$13),"",IF(ISBLANK(Values!$B$10),TEXT(DATE(YEAR(TODAY())+Values!$B$13,MONTH(TODAY()),DAY(TODAY())),"yyyymmdd"),TEXT(DATE(YEAR(Values!$B$10)+Values!$B$13,MONTH(Values!$B$10),DAY(Values!$B$10)),"yyyymmdd")))</f>
        <v/>
      </c>
      <c r="R25" s="86"/>
      <c r="S25" s="173" t="s">
        <v>154</v>
      </c>
      <c r="T25" s="174" t="str">
        <f>IF(ISBLANK(Values!$B$16),"",TRIM(CONCATENATE(Values!$B$16)))</f>
        <v/>
      </c>
      <c r="V25" s="84" t="s">
        <v>19</v>
      </c>
      <c r="W25" s="85"/>
      <c r="X25" s="86" t="str">
        <f ca="1">IF(ISBLANK(Values!$B$13),"",IF(ISBLANK(Values!$B$10),TEXT(DATE(YEAR(TODAY())+Values!$B$13,MONTH(TODAY()),DAY(TODAY())),"yyyymmdd"),TEXT(DATE(YEAR(Values!$B$10)+Values!$B$13,MONTH(Values!$B$10),DAY(Values!$B$10)),"yyyymmdd")))</f>
        <v/>
      </c>
      <c r="Y25" s="86"/>
      <c r="Z25" s="173" t="s">
        <v>154</v>
      </c>
      <c r="AA25" s="174" t="str">
        <f>IF(ISBLANK(Values!$B$16),"",TRIM(CONCATENATE(Values!$B$16)))</f>
        <v/>
      </c>
      <c r="AC25" s="84" t="s">
        <v>19</v>
      </c>
      <c r="AD25" s="85"/>
      <c r="AE25" s="86" t="str">
        <f ca="1">IF(ISBLANK(Values!$C$13),"",IF(ISBLANK(Values!$C$10),TEXT(DATE(YEAR(TODAY())+Values!$C$13,MONTH(TODAY()),DAY(TODAY())),"yyyymmdd"),TEXT(DATE(YEAR(Values!$C$10)+Values!$C$13,MONTH(Values!$C$10),DAY(Values!$C$10)),"yyyymmdd")))</f>
        <v/>
      </c>
      <c r="AF25" s="86"/>
      <c r="AG25" s="173" t="s">
        <v>154</v>
      </c>
      <c r="AH25" s="174" t="str">
        <f>IF(ISBLANK(Values!$C$16),"",TRIM(CONCATENATE(Values!$C$16)))</f>
        <v/>
      </c>
      <c r="AJ25" s="84" t="s">
        <v>19</v>
      </c>
      <c r="AK25" s="85"/>
      <c r="AL25" s="86" t="str">
        <f ca="1">IF(ISBLANK(Values!$C$13),"",IF(ISBLANK(Values!$C$10),TEXT(DATE(YEAR(TODAY())+Values!$C$13,MONTH(TODAY()),DAY(TODAY())),"yyyymmdd"),TEXT(DATE(YEAR(Values!$C$10)+Values!$C$13,MONTH(Values!$C$10),DAY(Values!$C$10)),"yyyymmdd")))</f>
        <v/>
      </c>
      <c r="AM25" s="86"/>
      <c r="AN25" s="173" t="s">
        <v>154</v>
      </c>
      <c r="AO25" s="174" t="str">
        <f>IF(ISBLANK(Values!$C$16),"",TRIM(CONCATENATE(Values!$C$16)))</f>
        <v/>
      </c>
      <c r="AQ25" s="84" t="s">
        <v>19</v>
      </c>
      <c r="AR25" s="85"/>
      <c r="AS25" s="86" t="str">
        <f ca="1">IF(ISBLANK(Values!$C$13),"",IF(ISBLANK(Values!$C$10),TEXT(DATE(YEAR(TODAY())+Values!$C$13,MONTH(TODAY()),DAY(TODAY())),"yyyymmdd"),TEXT(DATE(YEAR(Values!$C$10)+Values!$C$13,MONTH(Values!$C$10),DAY(Values!$C$10)),"yyyymmdd")))</f>
        <v/>
      </c>
      <c r="AT25" s="86"/>
      <c r="AU25" s="173" t="s">
        <v>154</v>
      </c>
      <c r="AV25" s="174" t="str">
        <f>IF(ISBLANK(Values!$C$16),"",TRIM(CONCATENATE(Values!$C$16)))</f>
        <v/>
      </c>
      <c r="AX25" s="84" t="s">
        <v>19</v>
      </c>
      <c r="AY25" s="85"/>
      <c r="AZ25" s="86" t="str">
        <f ca="1">IF(ISBLANK(Values!$C$13),"",IF(ISBLANK(Values!$C$10),TEXT(DATE(YEAR(TODAY())+Values!$C$13,MONTH(TODAY()),DAY(TODAY())),"yyyymmdd"),TEXT(DATE(YEAR(Values!$C$10)+Values!$C$13,MONTH(Values!$C$10),DAY(Values!$C$10)),"yyyymmdd")))</f>
        <v/>
      </c>
      <c r="BA25" s="86"/>
      <c r="BB25" s="173" t="s">
        <v>154</v>
      </c>
      <c r="BC25" s="174" t="str">
        <f>IF(ISBLANK(Values!$C$16),"",TRIM(CONCATENATE(Values!$C$16)))</f>
        <v/>
      </c>
      <c r="BE25" s="84" t="s">
        <v>19</v>
      </c>
      <c r="BF25" s="85"/>
      <c r="BG25" s="86" t="str">
        <f ca="1">IF(ISBLANK(Values!$D$13),"",IF(ISBLANK(Values!$D$10),TEXT(DATE(YEAR(TODAY())+Values!$D$13,MONTH(TODAY()),DAY(TODAY())),"yyyymmdd"),TEXT(DATE(YEAR(Values!$D$10)+Values!$D$13,MONTH(Values!$D$10),DAY(Values!$D$10)),"yyyymmdd")))</f>
        <v/>
      </c>
      <c r="BH25" s="86"/>
      <c r="BI25" s="173" t="s">
        <v>154</v>
      </c>
      <c r="BJ25" s="174" t="str">
        <f>IF(ISBLANK(Values!$D$16),"",TRIM(CONCATENATE(Values!$D$16)))</f>
        <v/>
      </c>
      <c r="BL25" s="84" t="s">
        <v>19</v>
      </c>
      <c r="BM25" s="85"/>
      <c r="BN25" s="86" t="str">
        <f ca="1">IF(ISBLANK(Values!$D$13),"",IF(ISBLANK(Values!$D$10),TEXT(DATE(YEAR(TODAY())+Values!$D$13,MONTH(TODAY()),DAY(TODAY())),"yyyymmdd"),TEXT(DATE(YEAR(Values!$D$10)+Values!$D$13,MONTH(Values!$D$10),DAY(Values!$D$10)),"yyyymmdd")))</f>
        <v/>
      </c>
      <c r="BO25" s="86"/>
      <c r="BP25" s="173" t="s">
        <v>154</v>
      </c>
      <c r="BQ25" s="174" t="str">
        <f>IF(ISBLANK(Values!$D$16),"",TRIM(CONCATENATE(Values!$D$16)))</f>
        <v/>
      </c>
      <c r="BS25" s="84" t="s">
        <v>19</v>
      </c>
      <c r="BT25" s="85"/>
      <c r="BU25" s="86" t="str">
        <f ca="1">IF(ISBLANK(Values!$D$13),"",IF(ISBLANK(Values!$D$10),TEXT(DATE(YEAR(TODAY())+Values!$D$13,MONTH(TODAY()),DAY(TODAY())),"yyyymmdd"),TEXT(DATE(YEAR(Values!$D$10)+Values!$D$13,MONTH(Values!$D$10),DAY(Values!$D$10)),"yyyymmdd")))</f>
        <v/>
      </c>
      <c r="BV25" s="86"/>
      <c r="BW25" s="173" t="s">
        <v>154</v>
      </c>
      <c r="BX25" s="174" t="str">
        <f>IF(ISBLANK(Values!$D$16),"",TRIM(CONCATENATE(Values!$D$16)))</f>
        <v/>
      </c>
      <c r="BZ25" s="84" t="s">
        <v>19</v>
      </c>
      <c r="CA25" s="85"/>
      <c r="CB25" s="86" t="str">
        <f ca="1">IF(ISBLANK(Values!$D$13),"",IF(ISBLANK(Values!$D$10),TEXT(DATE(YEAR(TODAY())+Values!$D$13,MONTH(TODAY()),DAY(TODAY())),"yyyymmdd"),TEXT(DATE(YEAR(Values!$D$10)+Values!$D$13,MONTH(Values!$D$10),DAY(Values!$D$10)),"yyyymmdd")))</f>
        <v/>
      </c>
      <c r="CC25" s="86"/>
      <c r="CD25" s="173" t="s">
        <v>154</v>
      </c>
      <c r="CE25" s="174" t="str">
        <f>IF(ISBLANK(Values!$D$16),"",TRIM(CONCATENATE(Values!$D$16)))</f>
        <v/>
      </c>
      <c r="CG25" s="84" t="s">
        <v>19</v>
      </c>
      <c r="CH25" s="85"/>
      <c r="CI25" s="86" t="str">
        <f ca="1">IF(ISBLANK(Values!$E$13),"",IF(ISBLANK(Values!$E$10),TEXT(DATE(YEAR(TODAY())+Values!$E$13,MONTH(TODAY()),DAY(TODAY())),"yyyymmdd"),TEXT(DATE(YEAR(Values!$E$10)+Values!$E$13,MONTH(Values!$E$10),DAY(Values!$E$10)),"yyyymmdd")))</f>
        <v/>
      </c>
      <c r="CJ25" s="86"/>
      <c r="CK25" s="173" t="s">
        <v>154</v>
      </c>
      <c r="CL25" s="174" t="str">
        <f>IF(ISBLANK(Values!$E$16),"",TRIM(CONCATENATE(Values!$E$16)))</f>
        <v/>
      </c>
      <c r="CN25" s="84" t="s">
        <v>19</v>
      </c>
      <c r="CO25" s="85"/>
      <c r="CP25" s="86" t="str">
        <f ca="1">IF(ISBLANK(Values!$E$13),"",IF(ISBLANK(Values!$E$10),TEXT(DATE(YEAR(TODAY())+Values!$E$13,MONTH(TODAY()),DAY(TODAY())),"yyyymmdd"),TEXT(DATE(YEAR(Values!$E$10)+Values!$E$13,MONTH(Values!$E$10),DAY(Values!$E$10)),"yyyymmdd")))</f>
        <v/>
      </c>
      <c r="CQ25" s="86"/>
      <c r="CR25" s="173" t="s">
        <v>154</v>
      </c>
      <c r="CS25" s="174" t="str">
        <f>IF(ISBLANK(Values!$E$16),"",TRIM(CONCATENATE(Values!$E$16)))</f>
        <v/>
      </c>
      <c r="CU25" s="84" t="s">
        <v>19</v>
      </c>
      <c r="CV25" s="85"/>
      <c r="CW25" s="86" t="str">
        <f ca="1">IF(ISBLANK(Values!$E$13),"",IF(ISBLANK(Values!$E$10),TEXT(DATE(YEAR(TODAY())+Values!$E$13,MONTH(TODAY()),DAY(TODAY())),"yyyymmdd"),TEXT(DATE(YEAR(Values!$E$10)+Values!$E$13,MONTH(Values!$E$10),DAY(Values!$E$10)),"yyyymmdd")))</f>
        <v/>
      </c>
      <c r="CX25" s="86"/>
      <c r="CY25" s="173" t="s">
        <v>154</v>
      </c>
      <c r="CZ25" s="174" t="str">
        <f>IF(ISBLANK(Values!$E$16),"",TRIM(CONCATENATE(Values!$E$16)))</f>
        <v/>
      </c>
      <c r="DB25" s="84" t="s">
        <v>19</v>
      </c>
      <c r="DC25" s="85"/>
      <c r="DD25" s="86" t="str">
        <f ca="1">IF(ISBLANK(Values!$E$13),"",IF(ISBLANK(Values!$E$10),TEXT(DATE(YEAR(TODAY())+Values!$E$13,MONTH(TODAY()),DAY(TODAY())),"yyyymmdd"),TEXT(DATE(YEAR(Values!$E$10)+Values!$E$13,MONTH(Values!$E$10),DAY(Values!$E$10)),"yyyymmdd")))</f>
        <v/>
      </c>
      <c r="DE25" s="86"/>
      <c r="DF25" s="173" t="s">
        <v>154</v>
      </c>
      <c r="DG25" s="174" t="str">
        <f>IF(ISBLANK(Values!$E$16),"",TRIM(CONCATENATE(Values!$E$16)))</f>
        <v/>
      </c>
    </row>
    <row r="26" spans="1:111" s="23" customFormat="1" ht="11.1" customHeight="1" thickBot="1" x14ac:dyDescent="0.25">
      <c r="A26" s="103" t="s">
        <v>20</v>
      </c>
      <c r="B26" s="104"/>
      <c r="C26" s="104"/>
      <c r="D26" s="104"/>
      <c r="E26" s="104"/>
      <c r="F26" s="105"/>
      <c r="H26" s="103" t="s">
        <v>20</v>
      </c>
      <c r="I26" s="104"/>
      <c r="J26" s="104"/>
      <c r="K26" s="104"/>
      <c r="L26" s="104"/>
      <c r="M26" s="105"/>
      <c r="O26" s="103" t="s">
        <v>20</v>
      </c>
      <c r="P26" s="104"/>
      <c r="Q26" s="104"/>
      <c r="R26" s="104"/>
      <c r="S26" s="104"/>
      <c r="T26" s="105"/>
      <c r="V26" s="103" t="s">
        <v>20</v>
      </c>
      <c r="W26" s="104"/>
      <c r="X26" s="104"/>
      <c r="Y26" s="104"/>
      <c r="Z26" s="104"/>
      <c r="AA26" s="105"/>
      <c r="AC26" s="103" t="s">
        <v>20</v>
      </c>
      <c r="AD26" s="104"/>
      <c r="AE26" s="104"/>
      <c r="AF26" s="104"/>
      <c r="AG26" s="104"/>
      <c r="AH26" s="105"/>
      <c r="AJ26" s="103" t="s">
        <v>20</v>
      </c>
      <c r="AK26" s="104"/>
      <c r="AL26" s="104"/>
      <c r="AM26" s="104"/>
      <c r="AN26" s="104"/>
      <c r="AO26" s="105"/>
      <c r="AQ26" s="103" t="s">
        <v>20</v>
      </c>
      <c r="AR26" s="104"/>
      <c r="AS26" s="104"/>
      <c r="AT26" s="104"/>
      <c r="AU26" s="104"/>
      <c r="AV26" s="105"/>
      <c r="AX26" s="103" t="s">
        <v>20</v>
      </c>
      <c r="AY26" s="104"/>
      <c r="AZ26" s="104"/>
      <c r="BA26" s="104"/>
      <c r="BB26" s="104"/>
      <c r="BC26" s="105"/>
      <c r="BE26" s="103" t="s">
        <v>20</v>
      </c>
      <c r="BF26" s="104"/>
      <c r="BG26" s="104"/>
      <c r="BH26" s="104"/>
      <c r="BI26" s="104"/>
      <c r="BJ26" s="105"/>
      <c r="BL26" s="103" t="s">
        <v>20</v>
      </c>
      <c r="BM26" s="104"/>
      <c r="BN26" s="104"/>
      <c r="BO26" s="104"/>
      <c r="BP26" s="104"/>
      <c r="BQ26" s="105"/>
      <c r="BS26" s="103" t="s">
        <v>20</v>
      </c>
      <c r="BT26" s="104"/>
      <c r="BU26" s="104"/>
      <c r="BV26" s="104"/>
      <c r="BW26" s="104"/>
      <c r="BX26" s="105"/>
      <c r="BZ26" s="103" t="s">
        <v>20</v>
      </c>
      <c r="CA26" s="104"/>
      <c r="CB26" s="104"/>
      <c r="CC26" s="104"/>
      <c r="CD26" s="104"/>
      <c r="CE26" s="105"/>
      <c r="CG26" s="103" t="s">
        <v>20</v>
      </c>
      <c r="CH26" s="104"/>
      <c r="CI26" s="104"/>
      <c r="CJ26" s="104"/>
      <c r="CK26" s="104"/>
      <c r="CL26" s="105"/>
      <c r="CN26" s="103" t="s">
        <v>20</v>
      </c>
      <c r="CO26" s="104"/>
      <c r="CP26" s="104"/>
      <c r="CQ26" s="104"/>
      <c r="CR26" s="104"/>
      <c r="CS26" s="105"/>
      <c r="CU26" s="103" t="s">
        <v>20</v>
      </c>
      <c r="CV26" s="104"/>
      <c r="CW26" s="104"/>
      <c r="CX26" s="104"/>
      <c r="CY26" s="104"/>
      <c r="CZ26" s="105"/>
      <c r="DB26" s="103" t="s">
        <v>20</v>
      </c>
      <c r="DC26" s="104"/>
      <c r="DD26" s="104"/>
      <c r="DE26" s="104"/>
      <c r="DF26" s="104"/>
      <c r="DG26" s="105"/>
    </row>
    <row r="27" spans="1:111" ht="3" customHeight="1" x14ac:dyDescent="0.2">
      <c r="A27" s="123"/>
      <c r="B27" s="123"/>
      <c r="C27" s="123"/>
      <c r="D27" s="123"/>
      <c r="E27" s="123"/>
      <c r="F27" s="123"/>
      <c r="H27" s="123"/>
      <c r="I27" s="123"/>
      <c r="J27" s="123"/>
      <c r="K27" s="123"/>
      <c r="L27" s="123"/>
      <c r="M27" s="123"/>
      <c r="O27" s="123"/>
      <c r="P27" s="123"/>
      <c r="Q27" s="123"/>
      <c r="R27" s="123"/>
      <c r="S27" s="123"/>
      <c r="T27" s="123"/>
      <c r="V27" s="123"/>
      <c r="W27" s="123"/>
      <c r="X27" s="123"/>
      <c r="Y27" s="123"/>
      <c r="Z27" s="123"/>
      <c r="AA27" s="123"/>
      <c r="AC27" s="123"/>
      <c r="AD27" s="123"/>
      <c r="AE27" s="123"/>
      <c r="AF27" s="123"/>
      <c r="AG27" s="123"/>
      <c r="AH27" s="123"/>
      <c r="AJ27" s="123"/>
      <c r="AK27" s="123"/>
      <c r="AL27" s="123"/>
      <c r="AM27" s="123"/>
      <c r="AN27" s="123"/>
      <c r="AO27" s="123"/>
      <c r="AQ27" s="123"/>
      <c r="AR27" s="123"/>
      <c r="AS27" s="123"/>
      <c r="AT27" s="123"/>
      <c r="AU27" s="123"/>
      <c r="AV27" s="123"/>
      <c r="AX27" s="123"/>
      <c r="AY27" s="123"/>
      <c r="AZ27" s="123"/>
      <c r="BA27" s="123"/>
      <c r="BB27" s="123"/>
      <c r="BC27" s="123"/>
      <c r="BE27" s="123"/>
      <c r="BF27" s="123"/>
      <c r="BG27" s="123"/>
      <c r="BH27" s="123"/>
      <c r="BI27" s="123"/>
      <c r="BJ27" s="123"/>
      <c r="BL27" s="123"/>
      <c r="BM27" s="123"/>
      <c r="BN27" s="123"/>
      <c r="BO27" s="123"/>
      <c r="BP27" s="123"/>
      <c r="BQ27" s="123"/>
      <c r="BS27" s="123"/>
      <c r="BT27" s="123"/>
      <c r="BU27" s="123"/>
      <c r="BV27" s="123"/>
      <c r="BW27" s="123"/>
      <c r="BX27" s="123"/>
      <c r="BZ27" s="123"/>
      <c r="CA27" s="123"/>
      <c r="CB27" s="123"/>
      <c r="CC27" s="123"/>
      <c r="CD27" s="123"/>
      <c r="CE27" s="123"/>
      <c r="CG27" s="123"/>
      <c r="CH27" s="123"/>
      <c r="CI27" s="123"/>
      <c r="CJ27" s="123"/>
      <c r="CK27" s="123"/>
      <c r="CL27" s="123"/>
      <c r="CN27" s="123"/>
      <c r="CO27" s="123"/>
      <c r="CP27" s="123"/>
      <c r="CQ27" s="123"/>
      <c r="CR27" s="123"/>
      <c r="CS27" s="123"/>
      <c r="CU27" s="123"/>
      <c r="CV27" s="123"/>
      <c r="CW27" s="123"/>
      <c r="CX27" s="123"/>
      <c r="CY27" s="123"/>
      <c r="CZ27" s="123"/>
      <c r="DB27" s="123"/>
      <c r="DC27" s="123"/>
      <c r="DD27" s="123"/>
      <c r="DE27" s="123"/>
      <c r="DF27" s="123"/>
      <c r="DG27" s="123"/>
    </row>
    <row r="28" spans="1:111" ht="3" customHeight="1" thickBot="1" x14ac:dyDescent="0.25">
      <c r="A28" s="99"/>
      <c r="B28" s="99"/>
      <c r="C28" s="99"/>
      <c r="D28" s="99"/>
      <c r="E28" s="99"/>
      <c r="F28" s="99"/>
      <c r="H28" s="99"/>
      <c r="I28" s="99"/>
      <c r="J28" s="99"/>
      <c r="K28" s="99"/>
      <c r="L28" s="99"/>
      <c r="M28" s="99"/>
      <c r="O28" s="99"/>
      <c r="P28" s="99"/>
      <c r="Q28" s="99"/>
      <c r="R28" s="99"/>
      <c r="S28" s="99"/>
      <c r="T28" s="99"/>
      <c r="V28" s="99"/>
      <c r="W28" s="99"/>
      <c r="X28" s="99"/>
      <c r="Y28" s="99"/>
      <c r="Z28" s="99"/>
      <c r="AA28" s="99"/>
      <c r="AC28" s="99"/>
      <c r="AD28" s="99"/>
      <c r="AE28" s="99"/>
      <c r="AF28" s="99"/>
      <c r="AG28" s="99"/>
      <c r="AH28" s="99"/>
      <c r="AJ28" s="99"/>
      <c r="AK28" s="99"/>
      <c r="AL28" s="99"/>
      <c r="AM28" s="99"/>
      <c r="AN28" s="99"/>
      <c r="AO28" s="99"/>
      <c r="AQ28" s="99"/>
      <c r="AR28" s="99"/>
      <c r="AS28" s="99"/>
      <c r="AT28" s="99"/>
      <c r="AU28" s="99"/>
      <c r="AV28" s="99"/>
      <c r="AX28" s="99"/>
      <c r="AY28" s="99"/>
      <c r="AZ28" s="99"/>
      <c r="BA28" s="99"/>
      <c r="BB28" s="99"/>
      <c r="BC28" s="99"/>
      <c r="BE28" s="99"/>
      <c r="BF28" s="99"/>
      <c r="BG28" s="99"/>
      <c r="BH28" s="99"/>
      <c r="BI28" s="99"/>
      <c r="BJ28" s="99"/>
      <c r="BL28" s="99"/>
      <c r="BM28" s="99"/>
      <c r="BN28" s="99"/>
      <c r="BO28" s="99"/>
      <c r="BP28" s="99"/>
      <c r="BQ28" s="99"/>
      <c r="BS28" s="99"/>
      <c r="BT28" s="99"/>
      <c r="BU28" s="99"/>
      <c r="BV28" s="99"/>
      <c r="BW28" s="99"/>
      <c r="BX28" s="99"/>
      <c r="BZ28" s="99"/>
      <c r="CA28" s="99"/>
      <c r="CB28" s="99"/>
      <c r="CC28" s="99"/>
      <c r="CD28" s="99"/>
      <c r="CE28" s="99"/>
      <c r="CG28" s="99"/>
      <c r="CH28" s="99"/>
      <c r="CI28" s="99"/>
      <c r="CJ28" s="99"/>
      <c r="CK28" s="99"/>
      <c r="CL28" s="99"/>
      <c r="CN28" s="99"/>
      <c r="CO28" s="99"/>
      <c r="CP28" s="99"/>
      <c r="CQ28" s="99"/>
      <c r="CR28" s="99"/>
      <c r="CS28" s="99"/>
      <c r="CU28" s="99"/>
      <c r="CV28" s="99"/>
      <c r="CW28" s="99"/>
      <c r="CX28" s="99"/>
      <c r="CY28" s="99"/>
      <c r="CZ28" s="99"/>
      <c r="DB28" s="99"/>
      <c r="DC28" s="99"/>
      <c r="DD28" s="99"/>
      <c r="DE28" s="99"/>
      <c r="DF28" s="99"/>
      <c r="DG28" s="99"/>
    </row>
    <row r="29" spans="1:111" ht="12.95" customHeight="1" thickBot="1" x14ac:dyDescent="0.25">
      <c r="A29" s="100" t="str">
        <f>IF(ISBLANK(Values!$B$14),"",IF(ISBLANK(Values!$B$10),TRIM(UPPER(CONCATENATE(Values!$B$14,Values!$B$15))),TRIM(UPPER(CONCATENATE(Values!$B$14,Values!$B$15)))))</f>
        <v/>
      </c>
      <c r="B29" s="101"/>
      <c r="C29" s="101"/>
      <c r="D29" s="101"/>
      <c r="E29" s="101"/>
      <c r="F29" s="102"/>
      <c r="H29" s="100" t="str">
        <f>IF(ISBLANK(Values!$B$14),"",IF(ISBLANK(Values!$B$10),TRIM(UPPER(CONCATENATE(Values!$B$14,Values!$B$15))),TRIM(UPPER(CONCATENATE(Values!$B$14,Values!$B$15)))))</f>
        <v/>
      </c>
      <c r="I29" s="101"/>
      <c r="J29" s="101"/>
      <c r="K29" s="101"/>
      <c r="L29" s="101"/>
      <c r="M29" s="102"/>
      <c r="O29" s="100" t="str">
        <f>IF(ISBLANK(Values!$B$14),"",IF(ISBLANK(Values!$B$10),TRIM(UPPER(CONCATENATE(Values!$B$14,Values!$B$15))),TRIM(UPPER(CONCATENATE(Values!$B$14,Values!$B$15)))))</f>
        <v/>
      </c>
      <c r="P29" s="101"/>
      <c r="Q29" s="101"/>
      <c r="R29" s="101"/>
      <c r="S29" s="101"/>
      <c r="T29" s="102"/>
      <c r="V29" s="100" t="str">
        <f>IF(ISBLANK(Values!$B$14),"",IF(ISBLANK(Values!$B$10),TRIM(UPPER(CONCATENATE(Values!$B$14,Values!$B$15))),TRIM(UPPER(CONCATENATE(Values!$B$14,Values!$B$15)))))</f>
        <v/>
      </c>
      <c r="W29" s="101"/>
      <c r="X29" s="101"/>
      <c r="Y29" s="101"/>
      <c r="Z29" s="101"/>
      <c r="AA29" s="102"/>
      <c r="AC29" s="100" t="str">
        <f>IF(ISBLANK(Values!$C$14),"",IF(ISBLANK(Values!$C$10),TRIM(UPPER(CONCATENATE(Values!$C$14,Values!$C$15))),TRIM(UPPER(CONCATENATE(Values!$C$14,Values!$C$15)))))</f>
        <v/>
      </c>
      <c r="AD29" s="101"/>
      <c r="AE29" s="101"/>
      <c r="AF29" s="101"/>
      <c r="AG29" s="101"/>
      <c r="AH29" s="102"/>
      <c r="AJ29" s="100" t="str">
        <f>IF(ISBLANK(Values!$C$14),"",IF(ISBLANK(Values!$C$10),TRIM(UPPER(CONCATENATE(Values!$C$14,Values!$C$15))),TRIM(UPPER(CONCATENATE(Values!$C$14,Values!$C$15)))))</f>
        <v/>
      </c>
      <c r="AK29" s="101"/>
      <c r="AL29" s="101"/>
      <c r="AM29" s="101"/>
      <c r="AN29" s="101"/>
      <c r="AO29" s="102"/>
      <c r="AQ29" s="100" t="str">
        <f>IF(ISBLANK(Values!$C$14),"",IF(ISBLANK(Values!$C$10),TRIM(UPPER(CONCATENATE(Values!$C$14,Values!$C$15))),TRIM(UPPER(CONCATENATE(Values!$C$14,Values!$C$15)))))</f>
        <v/>
      </c>
      <c r="AR29" s="101"/>
      <c r="AS29" s="101"/>
      <c r="AT29" s="101"/>
      <c r="AU29" s="101"/>
      <c r="AV29" s="102"/>
      <c r="AX29" s="100" t="str">
        <f>IF(ISBLANK(Values!$C$14),"",IF(ISBLANK(Values!$C$10),TRIM(UPPER(CONCATENATE(Values!$C$14,Values!$C$15))),TRIM(UPPER(CONCATENATE(Values!$C$14,Values!$C$15)))))</f>
        <v/>
      </c>
      <c r="AY29" s="101"/>
      <c r="AZ29" s="101"/>
      <c r="BA29" s="101"/>
      <c r="BB29" s="101"/>
      <c r="BC29" s="102"/>
      <c r="BE29" s="100" t="str">
        <f>IF(ISBLANK(Values!$D$14),"",IF(ISBLANK(Values!$D$10),TRIM(UPPER(CONCATENATE(Values!$D$14,Values!$D$15))),TRIM(UPPER(CONCATENATE(Values!$D$14,Values!$D$15)))))</f>
        <v/>
      </c>
      <c r="BF29" s="101"/>
      <c r="BG29" s="101"/>
      <c r="BH29" s="101"/>
      <c r="BI29" s="101"/>
      <c r="BJ29" s="102"/>
      <c r="BL29" s="100" t="str">
        <f>IF(ISBLANK(Values!$D$14),"",IF(ISBLANK(Values!$D$10),TRIM(UPPER(CONCATENATE(Values!$D$14,Values!$D$15))),TRIM(UPPER(CONCATENATE(Values!$D$14,Values!$D$15)))))</f>
        <v/>
      </c>
      <c r="BM29" s="101"/>
      <c r="BN29" s="101"/>
      <c r="BO29" s="101"/>
      <c r="BP29" s="101"/>
      <c r="BQ29" s="102"/>
      <c r="BS29" s="100" t="str">
        <f>IF(ISBLANK(Values!$D$14),"",IF(ISBLANK(Values!$D$10),TRIM(UPPER(CONCATENATE(Values!$D$14,Values!$D$15))),TRIM(UPPER(CONCATENATE(Values!$D$14,Values!$D$15)))))</f>
        <v/>
      </c>
      <c r="BT29" s="101"/>
      <c r="BU29" s="101"/>
      <c r="BV29" s="101"/>
      <c r="BW29" s="101"/>
      <c r="BX29" s="102"/>
      <c r="BZ29" s="100" t="str">
        <f>IF(ISBLANK(Values!$D$14),"",IF(ISBLANK(Values!$D$10),TRIM(UPPER(CONCATENATE(Values!$D$14,Values!$D$15))),TRIM(UPPER(CONCATENATE(Values!$D$14,Values!$D$15)))))</f>
        <v/>
      </c>
      <c r="CA29" s="101"/>
      <c r="CB29" s="101"/>
      <c r="CC29" s="101"/>
      <c r="CD29" s="101"/>
      <c r="CE29" s="102"/>
      <c r="CG29" s="100" t="str">
        <f>IF(ISBLANK(Values!$E$14),"",IF(ISBLANK(Values!$E$10),TRIM(UPPER(CONCATENATE(Values!$E$14,Values!$E$15))),TRIM(UPPER(CONCATENATE(Values!$E$14,Values!$E$15)))))</f>
        <v/>
      </c>
      <c r="CH29" s="101"/>
      <c r="CI29" s="101"/>
      <c r="CJ29" s="101"/>
      <c r="CK29" s="101"/>
      <c r="CL29" s="102"/>
      <c r="CN29" s="100" t="str">
        <f>IF(ISBLANK(Values!$E$14),"",IF(ISBLANK(Values!$E$10),TRIM(UPPER(CONCATENATE(Values!$E$14,Values!$E$15))),TRIM(UPPER(CONCATENATE(Values!$E$14,Values!$E$15)))))</f>
        <v/>
      </c>
      <c r="CO29" s="101"/>
      <c r="CP29" s="101"/>
      <c r="CQ29" s="101"/>
      <c r="CR29" s="101"/>
      <c r="CS29" s="102"/>
      <c r="CU29" s="100" t="str">
        <f>IF(ISBLANK(Values!$E$14),"",IF(ISBLANK(Values!$E$10),TRIM(UPPER(CONCATENATE(Values!$E$14,Values!$E$15))),TRIM(UPPER(CONCATENATE(Values!$E$14,Values!$E$15)))))</f>
        <v/>
      </c>
      <c r="CV29" s="101"/>
      <c r="CW29" s="101"/>
      <c r="CX29" s="101"/>
      <c r="CY29" s="101"/>
      <c r="CZ29" s="102"/>
      <c r="DB29" s="100" t="str">
        <f>IF(ISBLANK(Values!$E$14),"",IF(ISBLANK(Values!$E$10),TRIM(UPPER(CONCATENATE(Values!$E$14,Values!$E$15))),TRIM(UPPER(CONCATENATE(Values!$E$14,Values!$E$15)))))</f>
        <v/>
      </c>
      <c r="DC29" s="101"/>
      <c r="DD29" s="101"/>
      <c r="DE29" s="101"/>
      <c r="DF29" s="101"/>
      <c r="DG29" s="102"/>
    </row>
    <row r="30" spans="1:111" ht="9.9499999999999993" customHeight="1" x14ac:dyDescent="0.2">
      <c r="A30" s="90" t="str">
        <f>TRIM(Values!$B$4)</f>
        <v>Lockheed Martin Missiles and Fire Control</v>
      </c>
      <c r="B30" s="91"/>
      <c r="C30" s="91"/>
      <c r="D30" s="91"/>
      <c r="E30" s="91"/>
      <c r="F30" s="92"/>
      <c r="H30" s="90" t="str">
        <f>TRIM(Values!$B$4)</f>
        <v>Lockheed Martin Missiles and Fire Control</v>
      </c>
      <c r="I30" s="91"/>
      <c r="J30" s="91"/>
      <c r="K30" s="91"/>
      <c r="L30" s="91"/>
      <c r="M30" s="92"/>
      <c r="O30" s="90" t="str">
        <f>TRIM(Values!$B$4)</f>
        <v>Lockheed Martin Missiles and Fire Control</v>
      </c>
      <c r="P30" s="91"/>
      <c r="Q30" s="91"/>
      <c r="R30" s="91"/>
      <c r="S30" s="91"/>
      <c r="T30" s="92"/>
      <c r="V30" s="90" t="str">
        <f>TRIM(Values!$B$4)</f>
        <v>Lockheed Martin Missiles and Fire Control</v>
      </c>
      <c r="W30" s="91"/>
      <c r="X30" s="91"/>
      <c r="Y30" s="91"/>
      <c r="Z30" s="91"/>
      <c r="AA30" s="92"/>
      <c r="AC30" s="90" t="str">
        <f>TRIM(Values!$C$4)</f>
        <v/>
      </c>
      <c r="AD30" s="91"/>
      <c r="AE30" s="91"/>
      <c r="AF30" s="91"/>
      <c r="AG30" s="91"/>
      <c r="AH30" s="92"/>
      <c r="AJ30" s="90" t="str">
        <f>TRIM(Values!$C$4)</f>
        <v/>
      </c>
      <c r="AK30" s="91"/>
      <c r="AL30" s="91"/>
      <c r="AM30" s="91"/>
      <c r="AN30" s="91"/>
      <c r="AO30" s="92"/>
      <c r="AQ30" s="90" t="str">
        <f>TRIM(Values!$C$4)</f>
        <v/>
      </c>
      <c r="AR30" s="91"/>
      <c r="AS30" s="91"/>
      <c r="AT30" s="91"/>
      <c r="AU30" s="91"/>
      <c r="AV30" s="92"/>
      <c r="AX30" s="90" t="str">
        <f>TRIM(Values!$C$4)</f>
        <v/>
      </c>
      <c r="AY30" s="91"/>
      <c r="AZ30" s="91"/>
      <c r="BA30" s="91"/>
      <c r="BB30" s="91"/>
      <c r="BC30" s="92"/>
      <c r="BE30" s="90" t="str">
        <f>TRIM(Values!$D$4)</f>
        <v/>
      </c>
      <c r="BF30" s="91"/>
      <c r="BG30" s="91"/>
      <c r="BH30" s="91"/>
      <c r="BI30" s="91"/>
      <c r="BJ30" s="92"/>
      <c r="BL30" s="90" t="str">
        <f>TRIM(Values!$D$4)</f>
        <v/>
      </c>
      <c r="BM30" s="91"/>
      <c r="BN30" s="91"/>
      <c r="BO30" s="91"/>
      <c r="BP30" s="91"/>
      <c r="BQ30" s="92"/>
      <c r="BS30" s="90" t="str">
        <f>TRIM(Values!$D$4)</f>
        <v/>
      </c>
      <c r="BT30" s="91"/>
      <c r="BU30" s="91"/>
      <c r="BV30" s="91"/>
      <c r="BW30" s="91"/>
      <c r="BX30" s="92"/>
      <c r="BZ30" s="90" t="str">
        <f>TRIM(Values!$D$4)</f>
        <v/>
      </c>
      <c r="CA30" s="91"/>
      <c r="CB30" s="91"/>
      <c r="CC30" s="91"/>
      <c r="CD30" s="91"/>
      <c r="CE30" s="92"/>
      <c r="CG30" s="90" t="str">
        <f>TRIM(Values!$E$4)</f>
        <v/>
      </c>
      <c r="CH30" s="91"/>
      <c r="CI30" s="91"/>
      <c r="CJ30" s="91"/>
      <c r="CK30" s="91"/>
      <c r="CL30" s="92"/>
      <c r="CN30" s="90" t="str">
        <f>TRIM(Values!$E$4)</f>
        <v/>
      </c>
      <c r="CO30" s="91"/>
      <c r="CP30" s="91"/>
      <c r="CQ30" s="91"/>
      <c r="CR30" s="91"/>
      <c r="CS30" s="92"/>
      <c r="CU30" s="90" t="str">
        <f>TRIM(Values!$E$4)</f>
        <v/>
      </c>
      <c r="CV30" s="91"/>
      <c r="CW30" s="91"/>
      <c r="CX30" s="91"/>
      <c r="CY30" s="91"/>
      <c r="CZ30" s="92"/>
      <c r="DB30" s="90" t="str">
        <f>TRIM(Values!$E$4)</f>
        <v/>
      </c>
      <c r="DC30" s="91"/>
      <c r="DD30" s="91"/>
      <c r="DE30" s="91"/>
      <c r="DF30" s="91"/>
      <c r="DG30" s="92"/>
    </row>
    <row r="31" spans="1:111" ht="9.9499999999999993" customHeight="1" x14ac:dyDescent="0.2">
      <c r="A31" s="96" t="str">
        <f>IF(OR(ISBLANK(Values!$B$5),ISBLANK(Values!$B$6),ISBLANK(Values!$B$7),ISBLANK(Values!$B$8)),"",TRIM(CONCATENATE(Values!$B$5," ▪ ",Values!$B$6,", ",Values!$B$7," ",Values!$B$8)))</f>
        <v>5600 Sand Lake Road ▪ Orlando, FL 32819-8907</v>
      </c>
      <c r="B31" s="97"/>
      <c r="C31" s="97"/>
      <c r="D31" s="97"/>
      <c r="E31" s="97"/>
      <c r="F31" s="98"/>
      <c r="H31" s="96" t="str">
        <f>IF(OR(ISBLANK(Values!$B$5),ISBLANK(Values!$B$6),ISBLANK(Values!$B$7),ISBLANK(Values!$B$8)),"",TRIM(CONCATENATE(Values!$B$5," ▪ ",Values!$B$6,", ",Values!$B$7," ",Values!$B$8)))</f>
        <v>5600 Sand Lake Road ▪ Orlando, FL 32819-8907</v>
      </c>
      <c r="I31" s="97"/>
      <c r="J31" s="97"/>
      <c r="K31" s="97"/>
      <c r="L31" s="97"/>
      <c r="M31" s="98"/>
      <c r="O31" s="96" t="str">
        <f>IF(OR(ISBLANK(Values!$B$5),ISBLANK(Values!$B$6),ISBLANK(Values!$B$7),ISBLANK(Values!$B$8)),"",TRIM(CONCATENATE(Values!$B$5," ▪ ",Values!$B$6,", ",Values!$B$7," ",Values!$B$8)))</f>
        <v>5600 Sand Lake Road ▪ Orlando, FL 32819-8907</v>
      </c>
      <c r="P31" s="97"/>
      <c r="Q31" s="97"/>
      <c r="R31" s="97"/>
      <c r="S31" s="97"/>
      <c r="T31" s="98"/>
      <c r="V31" s="96" t="str">
        <f>IF(OR(ISBLANK(Values!$B$5),ISBLANK(Values!$B$6),ISBLANK(Values!$B$7),ISBLANK(Values!$B$8)),"",TRIM(CONCATENATE(Values!$B$5," ▪ ",Values!$B$6,", ",Values!$B$7," ",Values!$B$8)))</f>
        <v>5600 Sand Lake Road ▪ Orlando, FL 32819-8907</v>
      </c>
      <c r="W31" s="97"/>
      <c r="X31" s="97"/>
      <c r="Y31" s="97"/>
      <c r="Z31" s="97"/>
      <c r="AA31" s="98"/>
      <c r="AC31" s="96" t="str">
        <f>IF(OR(ISBLANK(Values!$C$5),ISBLANK(Values!$C$6),ISBLANK(Values!$C$7),ISBLANK(Values!$C$8)),"",TRIM(CONCATENATE(Values!$C$5," ▪ ",Values!$C$6,", ",Values!$C$7," ",Values!$C$8)))</f>
        <v/>
      </c>
      <c r="AD31" s="97"/>
      <c r="AE31" s="97"/>
      <c r="AF31" s="97"/>
      <c r="AG31" s="97"/>
      <c r="AH31" s="98"/>
      <c r="AJ31" s="96" t="str">
        <f>IF(OR(ISBLANK(Values!$C$5),ISBLANK(Values!$C$6),ISBLANK(Values!$C$7),ISBLANK(Values!$C$8)),"",TRIM(CONCATENATE(Values!$C$5," ▪ ",Values!$C$6,", ",Values!$C$7," ",Values!$C$8)))</f>
        <v/>
      </c>
      <c r="AK31" s="97"/>
      <c r="AL31" s="97"/>
      <c r="AM31" s="97"/>
      <c r="AN31" s="97"/>
      <c r="AO31" s="98"/>
      <c r="AQ31" s="96" t="str">
        <f>IF(OR(ISBLANK(Values!$C$5),ISBLANK(Values!$C$6),ISBLANK(Values!$C$7),ISBLANK(Values!$C$8)),"",TRIM(CONCATENATE(Values!$C$5," ▪ ",Values!$C$6,", ",Values!$C$7," ",Values!$C$8)))</f>
        <v/>
      </c>
      <c r="AR31" s="97"/>
      <c r="AS31" s="97"/>
      <c r="AT31" s="97"/>
      <c r="AU31" s="97"/>
      <c r="AV31" s="98"/>
      <c r="AX31" s="96" t="str">
        <f>IF(OR(ISBLANK(Values!$C$5),ISBLANK(Values!$C$6),ISBLANK(Values!$C$7),ISBLANK(Values!$C$8)),"",TRIM(CONCATENATE(Values!$C$5," ▪ ",Values!$C$6,", ",Values!$C$7," ",Values!$C$8)))</f>
        <v/>
      </c>
      <c r="AY31" s="97"/>
      <c r="AZ31" s="97"/>
      <c r="BA31" s="97"/>
      <c r="BB31" s="97"/>
      <c r="BC31" s="98"/>
      <c r="BE31" s="96" t="str">
        <f>IF(OR(ISBLANK(Values!$D$5),ISBLANK(Values!$D$6),ISBLANK(Values!$D$7),ISBLANK(Values!$D$8)),"",TRIM(CONCATENATE(Values!$D$5," ▪ ",Values!$D$6,", ",Values!$D$7," ",Values!$D$8)))</f>
        <v/>
      </c>
      <c r="BF31" s="97"/>
      <c r="BG31" s="97"/>
      <c r="BH31" s="97"/>
      <c r="BI31" s="97"/>
      <c r="BJ31" s="98"/>
      <c r="BL31" s="96" t="str">
        <f>IF(OR(ISBLANK(Values!$D$5),ISBLANK(Values!$D$6),ISBLANK(Values!$D$7),ISBLANK(Values!$D$8)),"",TRIM(CONCATENATE(Values!$D$5," ▪ ",Values!$D$6,", ",Values!$D$7," ",Values!$D$8)))</f>
        <v/>
      </c>
      <c r="BM31" s="97"/>
      <c r="BN31" s="97"/>
      <c r="BO31" s="97"/>
      <c r="BP31" s="97"/>
      <c r="BQ31" s="98"/>
      <c r="BS31" s="96" t="str">
        <f>IF(OR(ISBLANK(Values!$D$5),ISBLANK(Values!$D$6),ISBLANK(Values!$D$7),ISBLANK(Values!$D$8)),"",TRIM(CONCATENATE(Values!$D$5," ▪ ",Values!$D$6,", ",Values!$D$7," ",Values!$D$8)))</f>
        <v/>
      </c>
      <c r="BT31" s="97"/>
      <c r="BU31" s="97"/>
      <c r="BV31" s="97"/>
      <c r="BW31" s="97"/>
      <c r="BX31" s="98"/>
      <c r="BZ31" s="96" t="str">
        <f>IF(OR(ISBLANK(Values!$D$5),ISBLANK(Values!$D$6),ISBLANK(Values!$D$7),ISBLANK(Values!$D$8)),"",TRIM(CONCATENATE(Values!$D$5," ▪ ",Values!$D$6,", ",Values!$D$7," ",Values!$D$8)))</f>
        <v/>
      </c>
      <c r="CA31" s="97"/>
      <c r="CB31" s="97"/>
      <c r="CC31" s="97"/>
      <c r="CD31" s="97"/>
      <c r="CE31" s="98"/>
      <c r="CG31" s="96" t="str">
        <f>IF(OR(ISBLANK(Values!$E$5),ISBLANK(Values!$E$6),ISBLANK(Values!$E$7),ISBLANK(Values!$E$8)),"",TRIM(CONCATENATE(Values!$E$5," ▪ ",Values!$E$6,", ",Values!$E$7," ",Values!$E$8)))</f>
        <v/>
      </c>
      <c r="CH31" s="97"/>
      <c r="CI31" s="97"/>
      <c r="CJ31" s="97"/>
      <c r="CK31" s="97"/>
      <c r="CL31" s="98"/>
      <c r="CN31" s="96" t="str">
        <f>IF(OR(ISBLANK(Values!$E$5),ISBLANK(Values!$E$6),ISBLANK(Values!$E$7),ISBLANK(Values!$E$8)),"",TRIM(CONCATENATE(Values!$E$5," ▪ ",Values!$E$6,", ",Values!$E$7," ",Values!$E$8)))</f>
        <v/>
      </c>
      <c r="CO31" s="97"/>
      <c r="CP31" s="97"/>
      <c r="CQ31" s="97"/>
      <c r="CR31" s="97"/>
      <c r="CS31" s="98"/>
      <c r="CU31" s="96" t="str">
        <f>IF(OR(ISBLANK(Values!$E$5),ISBLANK(Values!$E$6),ISBLANK(Values!$E$7),ISBLANK(Values!$E$8)),"",TRIM(CONCATENATE(Values!$E$5," ▪ ",Values!$E$6,", ",Values!$E$7," ",Values!$E$8)))</f>
        <v/>
      </c>
      <c r="CV31" s="97"/>
      <c r="CW31" s="97"/>
      <c r="CX31" s="97"/>
      <c r="CY31" s="97"/>
      <c r="CZ31" s="98"/>
      <c r="DB31" s="96" t="str">
        <f>IF(OR(ISBLANK(Values!$E$5),ISBLANK(Values!$E$6),ISBLANK(Values!$E$7),ISBLANK(Values!$E$8)),"",TRIM(CONCATENATE(Values!$E$5," ▪ ",Values!$E$6,", ",Values!$E$7," ",Values!$E$8)))</f>
        <v/>
      </c>
      <c r="DC31" s="97"/>
      <c r="DD31" s="97"/>
      <c r="DE31" s="97"/>
      <c r="DF31" s="97"/>
      <c r="DG31" s="98"/>
    </row>
    <row r="32" spans="1:111" ht="9.9499999999999993" customHeight="1" x14ac:dyDescent="0.2">
      <c r="A32" s="84" t="s">
        <v>153</v>
      </c>
      <c r="B32" s="85"/>
      <c r="C32" s="85"/>
      <c r="D32" s="82" t="str">
        <f>IF(ISBLANK(Values!$B$3),"",TRIM(CONCATENATE(Values!$B$3)))</f>
        <v/>
      </c>
      <c r="E32" s="82"/>
      <c r="F32" s="83"/>
      <c r="H32" s="84" t="s">
        <v>153</v>
      </c>
      <c r="I32" s="85"/>
      <c r="J32" s="85"/>
      <c r="K32" s="82" t="str">
        <f>IF(ISBLANK(Values!$B$3),"",TRIM(CONCATENATE(Values!$B$3)))</f>
        <v/>
      </c>
      <c r="L32" s="82"/>
      <c r="M32" s="83"/>
      <c r="O32" s="84" t="s">
        <v>153</v>
      </c>
      <c r="P32" s="85"/>
      <c r="Q32" s="85"/>
      <c r="R32" s="82" t="str">
        <f>IF(ISBLANK(Values!$B$3),"",TRIM(CONCATENATE(Values!$B$3)))</f>
        <v/>
      </c>
      <c r="S32" s="82"/>
      <c r="T32" s="83"/>
      <c r="V32" s="84" t="s">
        <v>153</v>
      </c>
      <c r="W32" s="85"/>
      <c r="X32" s="85"/>
      <c r="Y32" s="82" t="str">
        <f>IF(ISBLANK(Values!$B$3),"",TRIM(CONCATENATE(Values!$B$3)))</f>
        <v/>
      </c>
      <c r="Z32" s="82"/>
      <c r="AA32" s="83"/>
      <c r="AC32" s="84" t="s">
        <v>153</v>
      </c>
      <c r="AD32" s="85"/>
      <c r="AE32" s="85"/>
      <c r="AF32" s="82" t="str">
        <f>IF(ISBLANK(Values!$C$3),"",TRIM(CONCATENATE(Values!$C$3)))</f>
        <v/>
      </c>
      <c r="AG32" s="82"/>
      <c r="AH32" s="83"/>
      <c r="AJ32" s="84" t="s">
        <v>153</v>
      </c>
      <c r="AK32" s="85"/>
      <c r="AL32" s="85"/>
      <c r="AM32" s="82" t="str">
        <f>IF(ISBLANK(Values!$C$3),"",TRIM(CONCATENATE(Values!$C$3)))</f>
        <v/>
      </c>
      <c r="AN32" s="82"/>
      <c r="AO32" s="83"/>
      <c r="AQ32" s="84" t="s">
        <v>153</v>
      </c>
      <c r="AR32" s="85"/>
      <c r="AS32" s="85"/>
      <c r="AT32" s="82" t="str">
        <f>IF(ISBLANK(Values!$C$3),"",TRIM(CONCATENATE(Values!$C$3)))</f>
        <v/>
      </c>
      <c r="AU32" s="82"/>
      <c r="AV32" s="83"/>
      <c r="AX32" s="84" t="s">
        <v>153</v>
      </c>
      <c r="AY32" s="85"/>
      <c r="AZ32" s="85"/>
      <c r="BA32" s="82" t="str">
        <f>IF(ISBLANK(Values!$C$3),"",TRIM(CONCATENATE(Values!$C$3)))</f>
        <v/>
      </c>
      <c r="BB32" s="82"/>
      <c r="BC32" s="83"/>
      <c r="BE32" s="84" t="s">
        <v>153</v>
      </c>
      <c r="BF32" s="85"/>
      <c r="BG32" s="85"/>
      <c r="BH32" s="82" t="str">
        <f>IF(ISBLANK(Values!$D$3),"",TRIM(CONCATENATE(Values!$D$3)))</f>
        <v/>
      </c>
      <c r="BI32" s="82"/>
      <c r="BJ32" s="83"/>
      <c r="BL32" s="84" t="s">
        <v>153</v>
      </c>
      <c r="BM32" s="85"/>
      <c r="BN32" s="85"/>
      <c r="BO32" s="82" t="str">
        <f>IF(ISBLANK(Values!$D$3),"",TRIM(CONCATENATE(Values!$D$3)))</f>
        <v/>
      </c>
      <c r="BP32" s="82"/>
      <c r="BQ32" s="83"/>
      <c r="BS32" s="84" t="s">
        <v>153</v>
      </c>
      <c r="BT32" s="85"/>
      <c r="BU32" s="85"/>
      <c r="BV32" s="82" t="str">
        <f>IF(ISBLANK(Values!$D$3),"",TRIM(CONCATENATE(Values!$D$3)))</f>
        <v/>
      </c>
      <c r="BW32" s="82"/>
      <c r="BX32" s="83"/>
      <c r="BZ32" s="84" t="s">
        <v>153</v>
      </c>
      <c r="CA32" s="85"/>
      <c r="CB32" s="85"/>
      <c r="CC32" s="82" t="str">
        <f>IF(ISBLANK(Values!$D$3),"",TRIM(CONCATENATE(Values!$D$3)))</f>
        <v/>
      </c>
      <c r="CD32" s="82"/>
      <c r="CE32" s="83"/>
      <c r="CG32" s="84" t="s">
        <v>153</v>
      </c>
      <c r="CH32" s="85"/>
      <c r="CI32" s="85"/>
      <c r="CJ32" s="82" t="str">
        <f>IF(ISBLANK(Values!$E$3),"",TRIM(CONCATENATE(Values!$E$3)))</f>
        <v/>
      </c>
      <c r="CK32" s="82"/>
      <c r="CL32" s="83"/>
      <c r="CN32" s="84" t="s">
        <v>153</v>
      </c>
      <c r="CO32" s="85"/>
      <c r="CP32" s="85"/>
      <c r="CQ32" s="82" t="str">
        <f>IF(ISBLANK(Values!$E$3),"",TRIM(CONCATENATE(Values!$E$3)))</f>
        <v/>
      </c>
      <c r="CR32" s="82"/>
      <c r="CS32" s="83"/>
      <c r="CU32" s="84" t="s">
        <v>153</v>
      </c>
      <c r="CV32" s="85"/>
      <c r="CW32" s="85"/>
      <c r="CX32" s="82" t="str">
        <f>IF(ISBLANK(Values!$E$3),"",TRIM(CONCATENATE(Values!$E$3)))</f>
        <v/>
      </c>
      <c r="CY32" s="82"/>
      <c r="CZ32" s="83"/>
      <c r="DB32" s="84" t="s">
        <v>153</v>
      </c>
      <c r="DC32" s="85"/>
      <c r="DD32" s="85"/>
      <c r="DE32" s="82" t="str">
        <f>IF(ISBLANK(Values!$E$3),"",TRIM(CONCATENATE(Values!$E$3)))</f>
        <v/>
      </c>
      <c r="DF32" s="82"/>
      <c r="DG32" s="83"/>
    </row>
    <row r="33" spans="1:111" ht="9.9499999999999993" customHeight="1" x14ac:dyDescent="0.2">
      <c r="A33" s="55" t="s">
        <v>14</v>
      </c>
      <c r="B33" s="108" t="str">
        <f>IF(OR(ISBLANK(Values!$B$9),ISBLANK(Values!$B$19),ISBLANK(Values!$B$20),ISBLANK(Values!$B$21)),"",TRIM(CONCATENATE(Values!$B$9," ",Values!$B$19,"; ",Values!$B$21," ",Values!$B$20)))</f>
        <v/>
      </c>
      <c r="C33" s="108"/>
      <c r="D33" s="108"/>
      <c r="E33" s="108"/>
      <c r="F33" s="109"/>
      <c r="H33" s="55" t="s">
        <v>14</v>
      </c>
      <c r="I33" s="108" t="str">
        <f>IF(OR(ISBLANK(Values!$B$9),ISBLANK(Values!$B$23),ISBLANK(Values!$B$24),ISBLANK(Values!$B$25)),"",TRIM(CONCATENATE(Values!$B$9," ",Values!$B$23,"; ",Values!$B$25," ",Values!$B$24)))</f>
        <v/>
      </c>
      <c r="J33" s="108"/>
      <c r="K33" s="108"/>
      <c r="L33" s="108"/>
      <c r="M33" s="109"/>
      <c r="O33" s="55" t="s">
        <v>14</v>
      </c>
      <c r="P33" s="108" t="str">
        <f>IF(OR(ISBLANK(Values!$B$9),ISBLANK(Values!$B$27),ISBLANK(Values!$B$28),ISBLANK(Values!$B$29)),"",TRIM(CONCATENATE(Values!$B$9," ",Values!$B$27,"; ",Values!$B$29," ",Values!$B$28)))</f>
        <v/>
      </c>
      <c r="Q33" s="108"/>
      <c r="R33" s="108"/>
      <c r="S33" s="108"/>
      <c r="T33" s="109"/>
      <c r="V33" s="55" t="s">
        <v>14</v>
      </c>
      <c r="W33" s="108" t="str">
        <f>IF(OR(ISBLANK(Values!$B$9),ISBLANK(Values!$B$31),ISBLANK(Values!$B$32),ISBLANK(Values!$B$33)),"",TRIM(CONCATENATE(Values!$B$9," ",Values!$B$31,"; ",Values!$B$33," ",Values!$B$32)))</f>
        <v/>
      </c>
      <c r="X33" s="108"/>
      <c r="Y33" s="108"/>
      <c r="Z33" s="108"/>
      <c r="AA33" s="109"/>
      <c r="AC33" s="57" t="s">
        <v>14</v>
      </c>
      <c r="AD33" s="108" t="str">
        <f>IF(OR(ISBLANK(Values!$C$9),ISBLANK(Values!$C$19),ISBLANK(Values!$C$20),ISBLANK(Values!$C$21)),"",TRIM(CONCATENATE(Values!$C$9," ",Values!$C$19,"; ",Values!$C$21," ",Values!$C$20)))</f>
        <v/>
      </c>
      <c r="AE33" s="108"/>
      <c r="AF33" s="108"/>
      <c r="AG33" s="108"/>
      <c r="AH33" s="109"/>
      <c r="AJ33" s="57" t="s">
        <v>14</v>
      </c>
      <c r="AK33" s="108" t="str">
        <f>IF(OR(ISBLANK(Values!$C$9),ISBLANK(Values!$C$23),ISBLANK(Values!$C$24),ISBLANK(Values!$C$25)),"",TRIM(CONCATENATE(Values!$C$9," ",Values!$C$23,"; ",Values!$C$25," ",Values!$C$24)))</f>
        <v/>
      </c>
      <c r="AL33" s="108"/>
      <c r="AM33" s="108"/>
      <c r="AN33" s="108"/>
      <c r="AO33" s="109"/>
      <c r="AQ33" s="57" t="s">
        <v>14</v>
      </c>
      <c r="AR33" s="108" t="str">
        <f>IF(OR(ISBLANK(Values!$C$9),ISBLANK(Values!$C$27),ISBLANK(Values!$C$28),ISBLANK(Values!$C$29)),"",TRIM(CONCATENATE(Values!$C$9," ",Values!$C$27,"; ",Values!$C$29," ",Values!$C$28)))</f>
        <v/>
      </c>
      <c r="AS33" s="108"/>
      <c r="AT33" s="108"/>
      <c r="AU33" s="108"/>
      <c r="AV33" s="109"/>
      <c r="AX33" s="57" t="s">
        <v>14</v>
      </c>
      <c r="AY33" s="108" t="str">
        <f>IF(OR(ISBLANK(Values!$C$9),ISBLANK(Values!$C$31),ISBLANK(Values!$C$32),ISBLANK(Values!$C$33)),"",TRIM(CONCATENATE(Values!$C$9," ",Values!$C$31,"; ",Values!$C$33," ",Values!$C$32)))</f>
        <v/>
      </c>
      <c r="AZ33" s="108"/>
      <c r="BA33" s="108"/>
      <c r="BB33" s="108"/>
      <c r="BC33" s="109"/>
      <c r="BE33" s="57" t="s">
        <v>14</v>
      </c>
      <c r="BF33" s="108" t="str">
        <f>IF(OR(ISBLANK(Values!$D$9),ISBLANK(Values!$D$19),ISBLANK(Values!$D$20),ISBLANK(Values!$D$21)),"",TRIM(CONCATENATE(Values!$D$9," ",Values!$D$19,"; ",Values!$D$21," ",Values!$D$20)))</f>
        <v/>
      </c>
      <c r="BG33" s="108"/>
      <c r="BH33" s="108"/>
      <c r="BI33" s="108"/>
      <c r="BJ33" s="109"/>
      <c r="BL33" s="57" t="s">
        <v>14</v>
      </c>
      <c r="BM33" s="108" t="str">
        <f>IF(OR(ISBLANK(Values!$D$9),ISBLANK(Values!$D$23),ISBLANK(Values!$D$24),ISBLANK(Values!$D$25)),"",TRIM(CONCATENATE(Values!$D$9," ",Values!$D$23,"; ",Values!$D$25," ",Values!$D$24)))</f>
        <v/>
      </c>
      <c r="BN33" s="108"/>
      <c r="BO33" s="108"/>
      <c r="BP33" s="108"/>
      <c r="BQ33" s="109"/>
      <c r="BS33" s="57" t="s">
        <v>14</v>
      </c>
      <c r="BT33" s="108" t="str">
        <f>IF(OR(ISBLANK(Values!$D$9),ISBLANK(Values!$D$27),ISBLANK(Values!$D$28),ISBLANK(Values!$D$29)),"",TRIM(CONCATENATE(Values!$D$9," ",Values!$D$27,"; ",Values!$D$29," ",Values!$D$28)))</f>
        <v/>
      </c>
      <c r="BU33" s="108"/>
      <c r="BV33" s="108"/>
      <c r="BW33" s="108"/>
      <c r="BX33" s="109"/>
      <c r="BZ33" s="57" t="s">
        <v>14</v>
      </c>
      <c r="CA33" s="108" t="str">
        <f>IF(OR(ISBLANK(Values!$D$9),ISBLANK(Values!$D$31),ISBLANK(Values!$D$32),ISBLANK(Values!$D$33)),"",TRIM(CONCATENATE(Values!$D$9," ",Values!$D$31,"; ",Values!$D$33," ",Values!$D$32)))</f>
        <v/>
      </c>
      <c r="CB33" s="108"/>
      <c r="CC33" s="108"/>
      <c r="CD33" s="108"/>
      <c r="CE33" s="109"/>
      <c r="CG33" s="57" t="s">
        <v>14</v>
      </c>
      <c r="CH33" s="108" t="str">
        <f>IF(OR(ISBLANK(Values!$E$9),ISBLANK(Values!$E$19),ISBLANK(Values!$E$20),ISBLANK(Values!$E$21)),"",TRIM(CONCATENATE(Values!$E$9," ",Values!$E$19,"; ",Values!$E$21," ",Values!$E$20)))</f>
        <v/>
      </c>
      <c r="CI33" s="108"/>
      <c r="CJ33" s="108"/>
      <c r="CK33" s="108"/>
      <c r="CL33" s="109"/>
      <c r="CN33" s="57" t="s">
        <v>14</v>
      </c>
      <c r="CO33" s="108" t="str">
        <f>IF(OR(ISBLANK(Values!$E$9),ISBLANK(Values!$E$23),ISBLANK(Values!$E$24),ISBLANK(Values!$E$25)),"",TRIM(CONCATENATE(Values!$E$9," ",Values!$E$23,"; ",Values!$E$25," ",Values!$E$24)))</f>
        <v/>
      </c>
      <c r="CP33" s="108"/>
      <c r="CQ33" s="108"/>
      <c r="CR33" s="108"/>
      <c r="CS33" s="109"/>
      <c r="CU33" s="57" t="s">
        <v>14</v>
      </c>
      <c r="CV33" s="108" t="str">
        <f>IF(OR(ISBLANK(Values!$E$9),ISBLANK(Values!$E$27),ISBLANK(Values!$E$28),ISBLANK(Values!$E$29)),"",TRIM(CONCATENATE(Values!$E$9," ",Values!$E$27,"; ",Values!$E$29," ",Values!$E$28)))</f>
        <v/>
      </c>
      <c r="CW33" s="108"/>
      <c r="CX33" s="108"/>
      <c r="CY33" s="108"/>
      <c r="CZ33" s="109"/>
      <c r="DB33" s="57" t="s">
        <v>14</v>
      </c>
      <c r="DC33" s="108" t="str">
        <f>IF(OR(ISBLANK(Values!$E$9),ISBLANK(Values!$E$31),ISBLANK(Values!$E$32),ISBLANK(Values!$E$33)),"",TRIM(CONCATENATE(Values!$E$9," ",Values!$E$31,"; ",Values!$E$33," ",Values!$E$32)))</f>
        <v/>
      </c>
      <c r="DD33" s="108"/>
      <c r="DE33" s="108"/>
      <c r="DF33" s="108"/>
      <c r="DG33" s="109"/>
    </row>
    <row r="34" spans="1:111" ht="9.9499999999999993" customHeight="1" x14ac:dyDescent="0.2">
      <c r="A34" s="115" t="str">
        <f>TRIM(UPPER(Values!$B$22))</f>
        <v/>
      </c>
      <c r="B34" s="116"/>
      <c r="C34" s="116"/>
      <c r="D34" s="116"/>
      <c r="E34" s="116"/>
      <c r="F34" s="117"/>
      <c r="H34" s="115" t="str">
        <f>TRIM(UPPER(Values!$B$26))</f>
        <v/>
      </c>
      <c r="I34" s="116"/>
      <c r="J34" s="116"/>
      <c r="K34" s="116"/>
      <c r="L34" s="116"/>
      <c r="M34" s="117"/>
      <c r="O34" s="115" t="str">
        <f>TRIM(UPPER(Values!$B$30))</f>
        <v/>
      </c>
      <c r="P34" s="116"/>
      <c r="Q34" s="116"/>
      <c r="R34" s="116"/>
      <c r="S34" s="116"/>
      <c r="T34" s="117"/>
      <c r="V34" s="115" t="str">
        <f>TRIM(UPPER(Values!$B$34))</f>
        <v/>
      </c>
      <c r="W34" s="116"/>
      <c r="X34" s="116"/>
      <c r="Y34" s="116"/>
      <c r="Z34" s="116"/>
      <c r="AA34" s="117"/>
      <c r="AC34" s="115" t="str">
        <f>TRIM(UPPER(Values!$C$22))</f>
        <v/>
      </c>
      <c r="AD34" s="116"/>
      <c r="AE34" s="116"/>
      <c r="AF34" s="116"/>
      <c r="AG34" s="116"/>
      <c r="AH34" s="117"/>
      <c r="AJ34" s="115" t="str">
        <f>TRIM(UPPER(Values!$C$26))</f>
        <v/>
      </c>
      <c r="AK34" s="116"/>
      <c r="AL34" s="116"/>
      <c r="AM34" s="116"/>
      <c r="AN34" s="116"/>
      <c r="AO34" s="117"/>
      <c r="AQ34" s="115" t="str">
        <f>TRIM(UPPER(Values!$C$30))</f>
        <v/>
      </c>
      <c r="AR34" s="116"/>
      <c r="AS34" s="116"/>
      <c r="AT34" s="116"/>
      <c r="AU34" s="116"/>
      <c r="AV34" s="117"/>
      <c r="AX34" s="115" t="str">
        <f>TRIM(UPPER(Values!$C$34))</f>
        <v/>
      </c>
      <c r="AY34" s="116"/>
      <c r="AZ34" s="116"/>
      <c r="BA34" s="116"/>
      <c r="BB34" s="116"/>
      <c r="BC34" s="117"/>
      <c r="BE34" s="115" t="str">
        <f>TRIM(UPPER(Values!$D$22))</f>
        <v/>
      </c>
      <c r="BF34" s="116"/>
      <c r="BG34" s="116"/>
      <c r="BH34" s="116"/>
      <c r="BI34" s="116"/>
      <c r="BJ34" s="117"/>
      <c r="BL34" s="115" t="str">
        <f>TRIM(UPPER(Values!$D$26))</f>
        <v/>
      </c>
      <c r="BM34" s="116"/>
      <c r="BN34" s="116"/>
      <c r="BO34" s="116"/>
      <c r="BP34" s="116"/>
      <c r="BQ34" s="117"/>
      <c r="BS34" s="115" t="str">
        <f>TRIM(UPPER(Values!$D$30))</f>
        <v/>
      </c>
      <c r="BT34" s="116"/>
      <c r="BU34" s="116"/>
      <c r="BV34" s="116"/>
      <c r="BW34" s="116"/>
      <c r="BX34" s="117"/>
      <c r="BZ34" s="115" t="str">
        <f>TRIM(UPPER(Values!$D$34))</f>
        <v/>
      </c>
      <c r="CA34" s="116"/>
      <c r="CB34" s="116"/>
      <c r="CC34" s="116"/>
      <c r="CD34" s="116"/>
      <c r="CE34" s="117"/>
      <c r="CG34" s="115" t="str">
        <f>TRIM(UPPER(Values!$E$22))</f>
        <v/>
      </c>
      <c r="CH34" s="116"/>
      <c r="CI34" s="116"/>
      <c r="CJ34" s="116"/>
      <c r="CK34" s="116"/>
      <c r="CL34" s="117"/>
      <c r="CN34" s="115" t="str">
        <f>TRIM(UPPER(Values!$E$26))</f>
        <v/>
      </c>
      <c r="CO34" s="116"/>
      <c r="CP34" s="116"/>
      <c r="CQ34" s="116"/>
      <c r="CR34" s="116"/>
      <c r="CS34" s="117"/>
      <c r="CU34" s="115" t="str">
        <f>TRIM(UPPER(Values!$E$30))</f>
        <v/>
      </c>
      <c r="CV34" s="116"/>
      <c r="CW34" s="116"/>
      <c r="CX34" s="116"/>
      <c r="CY34" s="116"/>
      <c r="CZ34" s="117"/>
      <c r="DB34" s="115" t="str">
        <f>TRIM(UPPER(Values!$E$34))</f>
        <v/>
      </c>
      <c r="DC34" s="116"/>
      <c r="DD34" s="116"/>
      <c r="DE34" s="116"/>
      <c r="DF34" s="116"/>
      <c r="DG34" s="117"/>
    </row>
    <row r="35" spans="1:111" ht="24.95" customHeight="1" x14ac:dyDescent="0.2">
      <c r="A35" s="120" t="str">
        <f>IF(ISBLANK(Values!$B$22),"",CONCATENATE("*",Values!$B$22,"*"))</f>
        <v/>
      </c>
      <c r="B35" s="121"/>
      <c r="C35" s="121"/>
      <c r="D35" s="121"/>
      <c r="E35" s="121"/>
      <c r="F35" s="122"/>
      <c r="G35" s="60"/>
      <c r="H35" s="120" t="str">
        <f>IF(ISBLANK(Values!$B$26),"",CONCATENATE("*",Values!$B$26,"*"))</f>
        <v/>
      </c>
      <c r="I35" s="121"/>
      <c r="J35" s="121"/>
      <c r="K35" s="121"/>
      <c r="L35" s="121"/>
      <c r="M35" s="122"/>
      <c r="N35" s="60"/>
      <c r="O35" s="120" t="str">
        <f>IF(ISBLANK(Values!$B$30),"",CONCATENATE("*",Values!$B$30,"*"))</f>
        <v/>
      </c>
      <c r="P35" s="121"/>
      <c r="Q35" s="121"/>
      <c r="R35" s="121"/>
      <c r="S35" s="121"/>
      <c r="T35" s="122"/>
      <c r="U35" s="60"/>
      <c r="V35" s="120" t="str">
        <f>IF(ISBLANK(Values!$B$34),"",CONCATENATE("*",Values!$B$34,"*"))</f>
        <v/>
      </c>
      <c r="W35" s="121"/>
      <c r="X35" s="121"/>
      <c r="Y35" s="121"/>
      <c r="Z35" s="121"/>
      <c r="AA35" s="122"/>
      <c r="AB35" s="60"/>
      <c r="AC35" s="120" t="str">
        <f>IF(ISBLANK(Values!$C$22),"",CONCATENATE("*",Values!$C$22,"*"))</f>
        <v/>
      </c>
      <c r="AD35" s="121"/>
      <c r="AE35" s="121"/>
      <c r="AF35" s="121"/>
      <c r="AG35" s="121"/>
      <c r="AH35" s="122"/>
      <c r="AI35" s="60"/>
      <c r="AJ35" s="120" t="str">
        <f>IF(ISBLANK(Values!$C$26),"",CONCATENATE("*",Values!$C$26,"*"))</f>
        <v/>
      </c>
      <c r="AK35" s="121"/>
      <c r="AL35" s="121"/>
      <c r="AM35" s="121"/>
      <c r="AN35" s="121"/>
      <c r="AO35" s="122"/>
      <c r="AP35" s="60"/>
      <c r="AQ35" s="120" t="str">
        <f>IF(ISBLANK(Values!$C$30),"",CONCATENATE("*",Values!$C$30,"*"))</f>
        <v/>
      </c>
      <c r="AR35" s="121"/>
      <c r="AS35" s="121"/>
      <c r="AT35" s="121"/>
      <c r="AU35" s="121"/>
      <c r="AV35" s="122"/>
      <c r="AW35" s="60"/>
      <c r="AX35" s="120" t="str">
        <f>IF(ISBLANK(Values!$C$34),"",CONCATENATE("*",Values!$C$34,"*"))</f>
        <v/>
      </c>
      <c r="AY35" s="121"/>
      <c r="AZ35" s="121"/>
      <c r="BA35" s="121"/>
      <c r="BB35" s="121"/>
      <c r="BC35" s="122"/>
      <c r="BD35" s="60"/>
      <c r="BE35" s="120" t="str">
        <f>IF(ISBLANK(Values!$D$22),"",CONCATENATE("*",Values!$D$22,"*"))</f>
        <v/>
      </c>
      <c r="BF35" s="121"/>
      <c r="BG35" s="121"/>
      <c r="BH35" s="121"/>
      <c r="BI35" s="121"/>
      <c r="BJ35" s="122"/>
      <c r="BK35" s="60"/>
      <c r="BL35" s="120" t="str">
        <f>IF(ISBLANK(Values!$D$26),"",CONCATENATE("*",Values!$D$26,"*"))</f>
        <v/>
      </c>
      <c r="BM35" s="121"/>
      <c r="BN35" s="121"/>
      <c r="BO35" s="121"/>
      <c r="BP35" s="121"/>
      <c r="BQ35" s="122"/>
      <c r="BR35" s="60"/>
      <c r="BS35" s="120" t="str">
        <f>IF(ISBLANK(Values!$D$30),"",CONCATENATE("*",Values!$D$30,"*"))</f>
        <v/>
      </c>
      <c r="BT35" s="121"/>
      <c r="BU35" s="121"/>
      <c r="BV35" s="121"/>
      <c r="BW35" s="121"/>
      <c r="BX35" s="122"/>
      <c r="BY35" s="60"/>
      <c r="BZ35" s="120" t="str">
        <f>IF(ISBLANK(Values!$D$34),"",CONCATENATE("*",Values!$D$34,"*"))</f>
        <v/>
      </c>
      <c r="CA35" s="121"/>
      <c r="CB35" s="121"/>
      <c r="CC35" s="121"/>
      <c r="CD35" s="121"/>
      <c r="CE35" s="122"/>
      <c r="CF35" s="60"/>
      <c r="CG35" s="120" t="str">
        <f>IF(ISBLANK(Values!$E$22),"",CONCATENATE("*",Values!$E$22,"*"))</f>
        <v/>
      </c>
      <c r="CH35" s="121"/>
      <c r="CI35" s="121"/>
      <c r="CJ35" s="121"/>
      <c r="CK35" s="121"/>
      <c r="CL35" s="122"/>
      <c r="CM35" s="60"/>
      <c r="CN35" s="120" t="str">
        <f>IF(ISBLANK(Values!$E$26),"",CONCATENATE("*",Values!$E$26,"*"))</f>
        <v/>
      </c>
      <c r="CO35" s="121"/>
      <c r="CP35" s="121"/>
      <c r="CQ35" s="121"/>
      <c r="CR35" s="121"/>
      <c r="CS35" s="122"/>
      <c r="CT35" s="60"/>
      <c r="CU35" s="120" t="str">
        <f>IF(ISBLANK(Values!$E$30),"",CONCATENATE("*",Values!$E$30,"*"))</f>
        <v/>
      </c>
      <c r="CV35" s="121"/>
      <c r="CW35" s="121"/>
      <c r="CX35" s="121"/>
      <c r="CY35" s="121"/>
      <c r="CZ35" s="122"/>
      <c r="DA35" s="60"/>
      <c r="DB35" s="120" t="str">
        <f>IF(ISBLANK(Values!$E$34),"",CONCATENATE("*",Values!$E$34,"*"))</f>
        <v/>
      </c>
      <c r="DC35" s="121"/>
      <c r="DD35" s="121"/>
      <c r="DE35" s="121"/>
      <c r="DF35" s="121"/>
      <c r="DG35" s="122"/>
    </row>
    <row r="36" spans="1:111" ht="15" customHeight="1" x14ac:dyDescent="0.2">
      <c r="A36" s="56" t="s">
        <v>15</v>
      </c>
      <c r="B36" s="82" t="str">
        <f ca="1">IF(ISBLANK(Values!$B$10),TEXT(TODAY(),"yyyymmdd"),TEXT(Values!$B$10,"yyyymmdd"))</f>
        <v>20231129</v>
      </c>
      <c r="C36" s="82"/>
      <c r="D36" s="118" t="s">
        <v>16</v>
      </c>
      <c r="E36" s="118"/>
      <c r="F36" s="119"/>
      <c r="H36" s="56" t="s">
        <v>15</v>
      </c>
      <c r="I36" s="82" t="str">
        <f ca="1">IF(ISBLANK(Values!$B$10),TEXT(TODAY(),"yyyymmdd"),TEXT(Values!$B$10,"yyyymmdd"))</f>
        <v>20231129</v>
      </c>
      <c r="J36" s="82"/>
      <c r="K36" s="118" t="s">
        <v>16</v>
      </c>
      <c r="L36" s="118"/>
      <c r="M36" s="119"/>
      <c r="O36" s="56" t="s">
        <v>15</v>
      </c>
      <c r="P36" s="82" t="str">
        <f ca="1">IF(ISBLANK(Values!$B$10),TEXT(TODAY(),"yyyymmdd"),TEXT(Values!$B$10,"yyyymmdd"))</f>
        <v>20231129</v>
      </c>
      <c r="Q36" s="82"/>
      <c r="R36" s="118" t="s">
        <v>16</v>
      </c>
      <c r="S36" s="118"/>
      <c r="T36" s="119"/>
      <c r="V36" s="56" t="s">
        <v>15</v>
      </c>
      <c r="W36" s="82" t="str">
        <f ca="1">IF(ISBLANK(Values!$B$10),TEXT(TODAY(),"yyyymmdd"),TEXT(Values!$B$10,"yyyymmdd"))</f>
        <v>20231129</v>
      </c>
      <c r="X36" s="82"/>
      <c r="Y36" s="118" t="s">
        <v>16</v>
      </c>
      <c r="Z36" s="118"/>
      <c r="AA36" s="119"/>
      <c r="AC36" s="58" t="s">
        <v>15</v>
      </c>
      <c r="AD36" s="82" t="str">
        <f ca="1">IF(ISBLANK(Values!$C$10),TEXT(TODAY(),"yyyymmdd"),TEXT(Values!$C$10,"yyyymmdd"))</f>
        <v>20231129</v>
      </c>
      <c r="AE36" s="82"/>
      <c r="AF36" s="110" t="s">
        <v>16</v>
      </c>
      <c r="AG36" s="110"/>
      <c r="AH36" s="111"/>
      <c r="AJ36" s="58" t="s">
        <v>15</v>
      </c>
      <c r="AK36" s="82" t="str">
        <f ca="1">IF(ISBLANK(Values!$C$10),TEXT(TODAY(),"yyyymmdd"),TEXT(Values!$C$10,"yyyymmdd"))</f>
        <v>20231129</v>
      </c>
      <c r="AL36" s="82"/>
      <c r="AM36" s="110" t="s">
        <v>16</v>
      </c>
      <c r="AN36" s="110"/>
      <c r="AO36" s="111"/>
      <c r="AQ36" s="58" t="s">
        <v>15</v>
      </c>
      <c r="AR36" s="82" t="str">
        <f ca="1">IF(ISBLANK(Values!$C$10),TEXT(TODAY(),"yyyymmdd"),TEXT(Values!$C$10,"yyyymmdd"))</f>
        <v>20231129</v>
      </c>
      <c r="AS36" s="82"/>
      <c r="AT36" s="110" t="s">
        <v>16</v>
      </c>
      <c r="AU36" s="110"/>
      <c r="AV36" s="111"/>
      <c r="AX36" s="58" t="s">
        <v>15</v>
      </c>
      <c r="AY36" s="82" t="str">
        <f ca="1">IF(ISBLANK(Values!$C$10),TEXT(TODAY(),"yyyymmdd"),TEXT(Values!$C$10,"yyyymmdd"))</f>
        <v>20231129</v>
      </c>
      <c r="AZ36" s="82"/>
      <c r="BA36" s="110" t="s">
        <v>16</v>
      </c>
      <c r="BB36" s="110"/>
      <c r="BC36" s="111"/>
      <c r="BE36" s="58" t="s">
        <v>15</v>
      </c>
      <c r="BF36" s="82" t="str">
        <f ca="1">IF(ISBLANK(Values!$D$10),TEXT(TODAY(),"yyyymmdd"),TEXT(Values!$D$10,"yyyymmdd"))</f>
        <v>20231129</v>
      </c>
      <c r="BG36" s="82"/>
      <c r="BH36" s="110" t="s">
        <v>16</v>
      </c>
      <c r="BI36" s="110"/>
      <c r="BJ36" s="111"/>
      <c r="BL36" s="58" t="s">
        <v>15</v>
      </c>
      <c r="BM36" s="82" t="str">
        <f ca="1">IF(ISBLANK(Values!$D$10),TEXT(TODAY(),"yyyymmdd"),TEXT(Values!$D$10,"yyyymmdd"))</f>
        <v>20231129</v>
      </c>
      <c r="BN36" s="82"/>
      <c r="BO36" s="110" t="s">
        <v>16</v>
      </c>
      <c r="BP36" s="110"/>
      <c r="BQ36" s="111"/>
      <c r="BS36" s="58" t="s">
        <v>15</v>
      </c>
      <c r="BT36" s="82" t="str">
        <f ca="1">IF(ISBLANK(Values!$D$10),TEXT(TODAY(),"yyyymmdd"),TEXT(Values!$D$10,"yyyymmdd"))</f>
        <v>20231129</v>
      </c>
      <c r="BU36" s="82"/>
      <c r="BV36" s="110" t="s">
        <v>16</v>
      </c>
      <c r="BW36" s="110"/>
      <c r="BX36" s="111"/>
      <c r="BZ36" s="58" t="s">
        <v>15</v>
      </c>
      <c r="CA36" s="82" t="str">
        <f ca="1">IF(ISBLANK(Values!$D$10),TEXT(TODAY(),"yyyymmdd"),TEXT(Values!$D$10,"yyyymmdd"))</f>
        <v>20231129</v>
      </c>
      <c r="CB36" s="82"/>
      <c r="CC36" s="110" t="s">
        <v>16</v>
      </c>
      <c r="CD36" s="110"/>
      <c r="CE36" s="111"/>
      <c r="CG36" s="58" t="s">
        <v>15</v>
      </c>
      <c r="CH36" s="82" t="str">
        <f ca="1">IF(ISBLANK(Values!$E$10),TEXT(TODAY(),"yyyymmdd"),TEXT(Values!$E$10,"yyyymmdd"))</f>
        <v>20231129</v>
      </c>
      <c r="CI36" s="82"/>
      <c r="CJ36" s="110" t="s">
        <v>16</v>
      </c>
      <c r="CK36" s="110"/>
      <c r="CL36" s="111"/>
      <c r="CN36" s="58" t="s">
        <v>15</v>
      </c>
      <c r="CO36" s="82" t="str">
        <f ca="1">IF(ISBLANK(Values!$E$10),TEXT(TODAY(),"yyyymmdd"),TEXT(Values!$E$10,"yyyymmdd"))</f>
        <v>20231129</v>
      </c>
      <c r="CP36" s="82"/>
      <c r="CQ36" s="110" t="s">
        <v>16</v>
      </c>
      <c r="CR36" s="110"/>
      <c r="CS36" s="111"/>
      <c r="CU36" s="58" t="s">
        <v>15</v>
      </c>
      <c r="CV36" s="82" t="str">
        <f ca="1">IF(ISBLANK(Values!$E$10),TEXT(TODAY(),"yyyymmdd"),TEXT(Values!$E$10,"yyyymmdd"))</f>
        <v>20231129</v>
      </c>
      <c r="CW36" s="82"/>
      <c r="CX36" s="110" t="s">
        <v>16</v>
      </c>
      <c r="CY36" s="110"/>
      <c r="CZ36" s="111"/>
      <c r="DB36" s="58" t="s">
        <v>15</v>
      </c>
      <c r="DC36" s="82" t="str">
        <f ca="1">IF(ISBLANK(Values!$E$10),TEXT(TODAY(),"yyyymmdd"),TEXT(Values!$E$10,"yyyymmdd"))</f>
        <v>20231129</v>
      </c>
      <c r="DD36" s="82"/>
      <c r="DE36" s="110" t="s">
        <v>16</v>
      </c>
      <c r="DF36" s="110"/>
      <c r="DG36" s="111"/>
    </row>
    <row r="37" spans="1:111" ht="9.9499999999999993" customHeight="1" x14ac:dyDescent="0.2">
      <c r="A37" s="106" t="s">
        <v>17</v>
      </c>
      <c r="B37" s="107"/>
      <c r="C37" s="86" t="str">
        <f>IF(ISBLANK(Values!$B$17),"",TRIM(CONCATENATE(Values!$B$17," (",Values!$B$18,")")))</f>
        <v/>
      </c>
      <c r="D37" s="82"/>
      <c r="E37" s="82"/>
      <c r="F37" s="54"/>
      <c r="H37" s="106" t="s">
        <v>17</v>
      </c>
      <c r="I37" s="107"/>
      <c r="J37" s="86" t="str">
        <f>IF(ISBLANK(Values!$B$17),"",TRIM(CONCATENATE(Values!$B$17," (",Values!$B$18,")")))</f>
        <v/>
      </c>
      <c r="K37" s="82"/>
      <c r="L37" s="82"/>
      <c r="M37" s="54"/>
      <c r="O37" s="106" t="s">
        <v>17</v>
      </c>
      <c r="P37" s="107"/>
      <c r="Q37" s="86" t="str">
        <f>IF(ISBLANK(Values!$B$17),"",TRIM(CONCATENATE(Values!$B$17," (",Values!$B$18,")")))</f>
        <v/>
      </c>
      <c r="R37" s="82"/>
      <c r="S37" s="82"/>
      <c r="T37" s="54"/>
      <c r="V37" s="106" t="s">
        <v>17</v>
      </c>
      <c r="W37" s="107"/>
      <c r="X37" s="86" t="str">
        <f>IF(ISBLANK(Values!$B$17),"",TRIM(CONCATENATE(Values!$B$17," (",Values!$B$18,")")))</f>
        <v/>
      </c>
      <c r="Y37" s="82"/>
      <c r="Z37" s="82"/>
      <c r="AA37" s="54"/>
      <c r="AC37" s="84" t="s">
        <v>17</v>
      </c>
      <c r="AD37" s="85"/>
      <c r="AE37" s="86" t="str">
        <f>IF(AND(ISBLANK(Values!$C$17),ISBLANK(Values!$C$18)),"",IF(AND(ISBLANK(Values!$C$17),Values!$C$18&lt;&gt;""),Values!$C$18,IF(AND(Values!$C$17&lt;&gt;"",ISBLANK(Values!$C$18)),Values!$C$17,TRIM(CONCATENATE(Values!$C$17," (",Values!$C$18,")")))))</f>
        <v/>
      </c>
      <c r="AF37" s="82"/>
      <c r="AG37" s="82"/>
      <c r="AH37" s="59"/>
      <c r="AJ37" s="84" t="s">
        <v>17</v>
      </c>
      <c r="AK37" s="85"/>
      <c r="AL37" s="86" t="str">
        <f>IF(AND(ISBLANK(Values!$C$17),ISBLANK(Values!$C$18)),"",IF(AND(ISBLANK(Values!$C$17),Values!$C$18&lt;&gt;""),Values!$C$18,IF(AND(Values!$C$17&lt;&gt;"",ISBLANK(Values!$C$18)),Values!$C$17,TRIM(CONCATENATE(Values!$C$17," (",Values!$C$18,")")))))</f>
        <v/>
      </c>
      <c r="AM37" s="82"/>
      <c r="AN37" s="82"/>
      <c r="AO37" s="59"/>
      <c r="AQ37" s="84" t="s">
        <v>17</v>
      </c>
      <c r="AR37" s="85"/>
      <c r="AS37" s="86" t="str">
        <f>IF(AND(ISBLANK(Values!$C$17),ISBLANK(Values!$C$18)),"",IF(AND(ISBLANK(Values!$C$17),Values!$C$18&lt;&gt;""),Values!$C$18,IF(AND(Values!$C$17&lt;&gt;"",ISBLANK(Values!$C$18)),Values!$C$17,TRIM(CONCATENATE(Values!$C$17," (",Values!$C$18,")")))))</f>
        <v/>
      </c>
      <c r="AT37" s="82"/>
      <c r="AU37" s="82"/>
      <c r="AV37" s="59"/>
      <c r="AX37" s="84" t="s">
        <v>17</v>
      </c>
      <c r="AY37" s="85"/>
      <c r="AZ37" s="86" t="str">
        <f>IF(AND(ISBLANK(Values!$C$17),ISBLANK(Values!$C$18)),"",IF(AND(ISBLANK(Values!$C$17),Values!$C$18&lt;&gt;""),Values!$C$18,IF(AND(Values!$C$17&lt;&gt;"",ISBLANK(Values!$C$18)),Values!$C$17,TRIM(CONCATENATE(Values!$C$17," (",Values!$C$18,")")))))</f>
        <v/>
      </c>
      <c r="BA37" s="82"/>
      <c r="BB37" s="82"/>
      <c r="BC37" s="59"/>
      <c r="BE37" s="84" t="s">
        <v>17</v>
      </c>
      <c r="BF37" s="85"/>
      <c r="BG37" s="86" t="str">
        <f>IF(AND(ISBLANK(Values!$D$17),ISBLANK(Values!$D$18)),"",IF(AND(ISBLANK(Values!$D$17),Values!$D$18&lt;&gt;""),Values!$D$18,IF(AND(Values!$D$17&lt;&gt;"",ISBLANK(Values!$D$18)),Values!$D$17,TRIM(CONCATENATE(Values!$D$17," (",Values!$D$18,")")))))</f>
        <v/>
      </c>
      <c r="BH37" s="82"/>
      <c r="BI37" s="82"/>
      <c r="BJ37" s="59"/>
      <c r="BL37" s="84" t="s">
        <v>17</v>
      </c>
      <c r="BM37" s="85"/>
      <c r="BN37" s="86" t="str">
        <f>IF(AND(ISBLANK(Values!$D$17),ISBLANK(Values!$D$18)),"",IF(AND(ISBLANK(Values!$D$17),Values!$D$18&lt;&gt;""),Values!$D$18,IF(AND(Values!$D$17&lt;&gt;"",ISBLANK(Values!$D$18)),Values!$D$17,TRIM(CONCATENATE(Values!$D$17," (",Values!$D$18,")")))))</f>
        <v/>
      </c>
      <c r="BO37" s="82"/>
      <c r="BP37" s="82"/>
      <c r="BQ37" s="59"/>
      <c r="BS37" s="84" t="s">
        <v>17</v>
      </c>
      <c r="BT37" s="85"/>
      <c r="BU37" s="86" t="str">
        <f>IF(AND(ISBLANK(Values!$D$17),ISBLANK(Values!$D$18)),"",IF(AND(ISBLANK(Values!$D$17),Values!$D$18&lt;&gt;""),Values!$D$18,IF(AND(Values!$D$17&lt;&gt;"",ISBLANK(Values!$D$18)),Values!$D$17,TRIM(CONCATENATE(Values!$D$17," (",Values!$D$18,")")))))</f>
        <v/>
      </c>
      <c r="BV37" s="82"/>
      <c r="BW37" s="82"/>
      <c r="BX37" s="59"/>
      <c r="BZ37" s="84" t="s">
        <v>17</v>
      </c>
      <c r="CA37" s="85"/>
      <c r="CB37" s="86" t="str">
        <f>IF(AND(ISBLANK(Values!$D$17),ISBLANK(Values!$D$18)),"",IF(AND(ISBLANK(Values!$D$17),Values!$D$18&lt;&gt;""),Values!$D$18,IF(AND(Values!$D$17&lt;&gt;"",ISBLANK(Values!$D$18)),Values!$D$17,TRIM(CONCATENATE(Values!$D$17," (",Values!$D$18,")")))))</f>
        <v/>
      </c>
      <c r="CC37" s="82"/>
      <c r="CD37" s="82"/>
      <c r="CE37" s="59"/>
      <c r="CG37" s="84" t="s">
        <v>17</v>
      </c>
      <c r="CH37" s="85"/>
      <c r="CI37" s="86" t="str">
        <f>IF(AND(ISBLANK(Values!$E$17),ISBLANK(Values!$E$18)),"",IF(AND(ISBLANK(Values!$E$17),Values!$E$18&lt;&gt;""),Values!$E$18,IF(AND(Values!$E$17&lt;&gt;"",ISBLANK(Values!$E$18)),Values!$E$17,TRIM(CONCATENATE(Values!$E$17," (",Values!$E$18,")")))))</f>
        <v/>
      </c>
      <c r="CJ37" s="82"/>
      <c r="CK37" s="82"/>
      <c r="CL37" s="59"/>
      <c r="CN37" s="84" t="s">
        <v>17</v>
      </c>
      <c r="CO37" s="85"/>
      <c r="CP37" s="86" t="str">
        <f>IF(AND(ISBLANK(Values!$E$17),ISBLANK(Values!$E$18)),"",IF(AND(ISBLANK(Values!$E$17),Values!$E$18&lt;&gt;""),Values!$E$18,IF(AND(Values!$E$17&lt;&gt;"",ISBLANK(Values!$E$18)),Values!$E$17,TRIM(CONCATENATE(Values!$E$17," (",Values!$E$18,")")))))</f>
        <v/>
      </c>
      <c r="CQ37" s="82"/>
      <c r="CR37" s="82"/>
      <c r="CS37" s="59"/>
      <c r="CU37" s="84" t="s">
        <v>17</v>
      </c>
      <c r="CV37" s="85"/>
      <c r="CW37" s="86" t="str">
        <f>IF(AND(ISBLANK(Values!$E$17),ISBLANK(Values!$E$18)),"",IF(AND(ISBLANK(Values!$E$17),Values!$E$18&lt;&gt;""),Values!$E$18,IF(AND(Values!$E$17&lt;&gt;"",ISBLANK(Values!$E$18)),Values!$E$17,TRIM(CONCATENATE(Values!$E$17," (",Values!$E$18,")")))))</f>
        <v/>
      </c>
      <c r="CX37" s="82"/>
      <c r="CY37" s="82"/>
      <c r="CZ37" s="59"/>
      <c r="DB37" s="84" t="s">
        <v>17</v>
      </c>
      <c r="DC37" s="85"/>
      <c r="DD37" s="86" t="str">
        <f>IF(AND(ISBLANK(Values!$E$17),ISBLANK(Values!$E$18)),"",IF(AND(ISBLANK(Values!$E$17),Values!$E$18&lt;&gt;""),Values!$E$18,IF(AND(Values!$E$17&lt;&gt;"",ISBLANK(Values!$E$18)),Values!$E$17,TRIM(CONCATENATE(Values!$E$17," (",Values!$E$18,")")))))</f>
        <v/>
      </c>
      <c r="DE37" s="82"/>
      <c r="DF37" s="82"/>
      <c r="DG37" s="59"/>
    </row>
    <row r="38" spans="1:111" ht="9.9499999999999993" customHeight="1" x14ac:dyDescent="0.2">
      <c r="A38" s="106" t="s">
        <v>18</v>
      </c>
      <c r="B38" s="107"/>
      <c r="C38" s="82" t="str">
        <f>IF(ISBLANK(Values!$B$11),"",IF(Values!$B$11="Multiple",Values!$B$11,TRIM(CONCATENATE(Values!$B$11,"; ",TEXT(Values!$B$12,"mm/dd/yyyy")))))</f>
        <v/>
      </c>
      <c r="D38" s="82"/>
      <c r="E38" s="82"/>
      <c r="F38" s="83"/>
      <c r="H38" s="106" t="s">
        <v>18</v>
      </c>
      <c r="I38" s="107"/>
      <c r="J38" s="82" t="str">
        <f>IF(ISBLANK(Values!$B$11),"",IF(Values!$B$11="Multiple",Values!$B$11,TRIM(CONCATENATE(Values!$B$11,"; ",TEXT(Values!$B$12,"mm/dd/yyyy")))))</f>
        <v/>
      </c>
      <c r="K38" s="82"/>
      <c r="L38" s="82"/>
      <c r="M38" s="83"/>
      <c r="O38" s="106" t="s">
        <v>18</v>
      </c>
      <c r="P38" s="107"/>
      <c r="Q38" s="82" t="str">
        <f>IF(ISBLANK(Values!$B$11),"",IF(Values!$B$11="Multiple",Values!$B$11,TRIM(CONCATENATE(Values!$B$11,"; ",TEXT(Values!$B$12,"mm/dd/yyyy")))))</f>
        <v/>
      </c>
      <c r="R38" s="82"/>
      <c r="S38" s="82"/>
      <c r="T38" s="83"/>
      <c r="V38" s="106" t="s">
        <v>18</v>
      </c>
      <c r="W38" s="107"/>
      <c r="X38" s="82" t="str">
        <f>IF(ISBLANK(Values!$B$11),"",IF(Values!$B$11="Multiple",Values!$B$11,TRIM(CONCATENATE(Values!$B$11,"; ",TEXT(Values!$B$12,"mm/dd/yyyy")))))</f>
        <v/>
      </c>
      <c r="Y38" s="82"/>
      <c r="Z38" s="82"/>
      <c r="AA38" s="83"/>
      <c r="AC38" s="84" t="s">
        <v>18</v>
      </c>
      <c r="AD38" s="85"/>
      <c r="AE38" s="82" t="str">
        <f>IF(ISBLANK(Values!$C$11),"",IF(Values!$C$11="Multiple",Values!$C$11,TRIM(CONCATENATE(Values!$C$11,"; ",TEXT(Values!$C$12,"mm/dd/yyyy")))))</f>
        <v/>
      </c>
      <c r="AF38" s="82"/>
      <c r="AG38" s="82"/>
      <c r="AH38" s="83"/>
      <c r="AJ38" s="84" t="s">
        <v>18</v>
      </c>
      <c r="AK38" s="85"/>
      <c r="AL38" s="82" t="str">
        <f>IF(ISBLANK(Values!$C$11),"",IF(Values!$C$11="Multiple",Values!$C$11,TRIM(CONCATENATE(Values!$C$11,"; ",TEXT(Values!$C$12,"mm/dd/yyyy")))))</f>
        <v/>
      </c>
      <c r="AM38" s="82"/>
      <c r="AN38" s="82"/>
      <c r="AO38" s="83"/>
      <c r="AQ38" s="84" t="s">
        <v>18</v>
      </c>
      <c r="AR38" s="85"/>
      <c r="AS38" s="82" t="str">
        <f>IF(ISBLANK(Values!$C$11),"",IF(Values!$C$11="Multiple",Values!$C$11,TRIM(CONCATENATE(Values!$C$11,"; ",TEXT(Values!$C$12,"mm/dd/yyyy")))))</f>
        <v/>
      </c>
      <c r="AT38" s="82"/>
      <c r="AU38" s="82"/>
      <c r="AV38" s="83"/>
      <c r="AX38" s="84" t="s">
        <v>18</v>
      </c>
      <c r="AY38" s="85"/>
      <c r="AZ38" s="82" t="str">
        <f>IF(ISBLANK(Values!$C$11),"",IF(Values!$C$11="Multiple",Values!$C$11,TRIM(CONCATENATE(Values!$C$11,"; ",TEXT(Values!$C$12,"mm/dd/yyyy")))))</f>
        <v/>
      </c>
      <c r="BA38" s="82"/>
      <c r="BB38" s="82"/>
      <c r="BC38" s="83"/>
      <c r="BE38" s="84" t="s">
        <v>18</v>
      </c>
      <c r="BF38" s="85"/>
      <c r="BG38" s="82" t="str">
        <f>IF(ISBLANK(Values!$D$11),"",IF(Values!$D$11="Multiple",Values!$D$11,TRIM(CONCATENATE(Values!$D$11,"; ",TEXT(Values!$D$12,"mm/dd/yyyy")))))</f>
        <v/>
      </c>
      <c r="BH38" s="82"/>
      <c r="BI38" s="82"/>
      <c r="BJ38" s="83"/>
      <c r="BL38" s="84" t="s">
        <v>18</v>
      </c>
      <c r="BM38" s="85"/>
      <c r="BN38" s="82" t="str">
        <f>IF(ISBLANK(Values!$D$11),"",IF(Values!$D$11="Multiple",Values!$D$11,TRIM(CONCATENATE(Values!$D$11,"; ",TEXT(Values!$D$12,"mm/dd/yyyy")))))</f>
        <v/>
      </c>
      <c r="BO38" s="82"/>
      <c r="BP38" s="82"/>
      <c r="BQ38" s="83"/>
      <c r="BS38" s="84" t="s">
        <v>18</v>
      </c>
      <c r="BT38" s="85"/>
      <c r="BU38" s="82" t="str">
        <f>IF(ISBLANK(Values!$D$11),"",IF(Values!$D$11="Multiple",Values!$D$11,TRIM(CONCATENATE(Values!$D$11,"; ",TEXT(Values!$D$12,"mm/dd/yyyy")))))</f>
        <v/>
      </c>
      <c r="BV38" s="82"/>
      <c r="BW38" s="82"/>
      <c r="BX38" s="83"/>
      <c r="BZ38" s="84" t="s">
        <v>18</v>
      </c>
      <c r="CA38" s="85"/>
      <c r="CB38" s="82" t="str">
        <f>IF(ISBLANK(Values!$D$11),"",IF(Values!$D$11="Multiple",Values!$D$11,TRIM(CONCATENATE(Values!$D$11,"; ",TEXT(Values!$D$12,"mm/dd/yyyy")))))</f>
        <v/>
      </c>
      <c r="CC38" s="82"/>
      <c r="CD38" s="82"/>
      <c r="CE38" s="83"/>
      <c r="CG38" s="84" t="s">
        <v>18</v>
      </c>
      <c r="CH38" s="85"/>
      <c r="CI38" s="82" t="str">
        <f>IF(ISBLANK(Values!$E$11),"",IF(Values!$E$11="Multiple",Values!$E$11,TRIM(CONCATENATE(Values!$E$11,"; ",TEXT(Values!$E$12,"mm/dd/yyyy")))))</f>
        <v/>
      </c>
      <c r="CJ38" s="82"/>
      <c r="CK38" s="82"/>
      <c r="CL38" s="83"/>
      <c r="CN38" s="84" t="s">
        <v>18</v>
      </c>
      <c r="CO38" s="85"/>
      <c r="CP38" s="82" t="str">
        <f>IF(ISBLANK(Values!$E$11),"",IF(Values!$E$11="Multiple",Values!$E$11,TRIM(CONCATENATE(Values!$E$11,"; ",TEXT(Values!$E$12,"mm/dd/yyyy")))))</f>
        <v/>
      </c>
      <c r="CQ38" s="82"/>
      <c r="CR38" s="82"/>
      <c r="CS38" s="83"/>
      <c r="CU38" s="84" t="s">
        <v>18</v>
      </c>
      <c r="CV38" s="85"/>
      <c r="CW38" s="82" t="str">
        <f>IF(ISBLANK(Values!$E$11),"",IF(Values!$E$11="Multiple",Values!$E$11,TRIM(CONCATENATE(Values!$E$11,"; ",TEXT(Values!$E$12,"mm/dd/yyyy")))))</f>
        <v/>
      </c>
      <c r="CX38" s="82"/>
      <c r="CY38" s="82"/>
      <c r="CZ38" s="83"/>
      <c r="DB38" s="84" t="s">
        <v>18</v>
      </c>
      <c r="DC38" s="85"/>
      <c r="DD38" s="82" t="str">
        <f>IF(ISBLANK(Values!$E$11),"",IF(Values!$E$11="Multiple",Values!$E$11,TRIM(CONCATENATE(Values!$E$11,"; ",TEXT(Values!$E$12,"mm/dd/yyyy")))))</f>
        <v/>
      </c>
      <c r="DE38" s="82"/>
      <c r="DF38" s="82"/>
      <c r="DG38" s="83"/>
    </row>
    <row r="39" spans="1:111" ht="9.9499999999999993" customHeight="1" thickBot="1" x14ac:dyDescent="0.25">
      <c r="A39" s="84" t="s">
        <v>19</v>
      </c>
      <c r="B39" s="85"/>
      <c r="C39" s="86" t="str">
        <f ca="1">IF(ISBLANK(Values!$B$13),"",IF(ISBLANK(Values!$B$10),TEXT(DATE(YEAR(TODAY())+Values!$B$13,MONTH(TODAY()),DAY(TODAY())),"yyyymmdd"),TEXT(DATE(YEAR(Values!$B$10)+Values!$B$13,MONTH(Values!$B$10),DAY(Values!$B$10)),"yyyymmdd")))</f>
        <v/>
      </c>
      <c r="D39" s="86"/>
      <c r="E39" s="173" t="s">
        <v>154</v>
      </c>
      <c r="F39" s="174" t="str">
        <f>IF(ISBLANK(Values!$B$16),"",TRIM(CONCATENATE(Values!$B$16)))</f>
        <v/>
      </c>
      <c r="H39" s="84" t="s">
        <v>19</v>
      </c>
      <c r="I39" s="85"/>
      <c r="J39" s="86" t="str">
        <f ca="1">IF(ISBLANK(Values!$B$13),"",IF(ISBLANK(Values!$B$10),TEXT(DATE(YEAR(TODAY())+Values!$B$13,MONTH(TODAY()),DAY(TODAY())),"yyyymmdd"),TEXT(DATE(YEAR(Values!$B$10)+Values!$B$13,MONTH(Values!$B$10),DAY(Values!$B$10)),"yyyymmdd")))</f>
        <v/>
      </c>
      <c r="K39" s="86"/>
      <c r="L39" s="173" t="s">
        <v>154</v>
      </c>
      <c r="M39" s="174" t="str">
        <f>IF(ISBLANK(Values!$B$16),"",TRIM(CONCATENATE(Values!$B$16)))</f>
        <v/>
      </c>
      <c r="O39" s="84" t="s">
        <v>19</v>
      </c>
      <c r="P39" s="85"/>
      <c r="Q39" s="86" t="str">
        <f ca="1">IF(ISBLANK(Values!$B$13),"",IF(ISBLANK(Values!$B$10),TEXT(DATE(YEAR(TODAY())+Values!$B$13,MONTH(TODAY()),DAY(TODAY())),"yyyymmdd"),TEXT(DATE(YEAR(Values!$B$10)+Values!$B$13,MONTH(Values!$B$10),DAY(Values!$B$10)),"yyyymmdd")))</f>
        <v/>
      </c>
      <c r="R39" s="86"/>
      <c r="S39" s="173" t="s">
        <v>154</v>
      </c>
      <c r="T39" s="174" t="str">
        <f>IF(ISBLANK(Values!$B$16),"",TRIM(CONCATENATE(Values!$B$16)))</f>
        <v/>
      </c>
      <c r="V39" s="84" t="s">
        <v>19</v>
      </c>
      <c r="W39" s="85"/>
      <c r="X39" s="86" t="str">
        <f ca="1">IF(ISBLANK(Values!$B$13),"",IF(ISBLANK(Values!$B$10),TEXT(DATE(YEAR(TODAY())+Values!$B$13,MONTH(TODAY()),DAY(TODAY())),"yyyymmdd"),TEXT(DATE(YEAR(Values!$B$10)+Values!$B$13,MONTH(Values!$B$10),DAY(Values!$B$10)),"yyyymmdd")))</f>
        <v/>
      </c>
      <c r="Y39" s="86"/>
      <c r="Z39" s="173" t="s">
        <v>154</v>
      </c>
      <c r="AA39" s="174" t="str">
        <f>IF(ISBLANK(Values!$B$16),"",TRIM(CONCATENATE(Values!$B$16)))</f>
        <v/>
      </c>
      <c r="AC39" s="84" t="s">
        <v>19</v>
      </c>
      <c r="AD39" s="85"/>
      <c r="AE39" s="86" t="str">
        <f ca="1">IF(ISBLANK(Values!$C$13),"",IF(ISBLANK(Values!$C$10),TEXT(DATE(YEAR(TODAY())+Values!$C$13,MONTH(TODAY()),DAY(TODAY())),"yyyymmdd"),TEXT(DATE(YEAR(Values!$C$10)+Values!$C$13,MONTH(Values!$C$10),DAY(Values!$C$10)),"yyyymmdd")))</f>
        <v/>
      </c>
      <c r="AF39" s="86"/>
      <c r="AG39" s="173" t="s">
        <v>154</v>
      </c>
      <c r="AH39" s="174" t="str">
        <f>IF(ISBLANK(Values!$C$16),"",TRIM(CONCATENATE(Values!$C$16)))</f>
        <v/>
      </c>
      <c r="AJ39" s="84" t="s">
        <v>19</v>
      </c>
      <c r="AK39" s="85"/>
      <c r="AL39" s="86" t="str">
        <f ca="1">IF(ISBLANK(Values!$C$13),"",IF(ISBLANK(Values!$C$10),TEXT(DATE(YEAR(TODAY())+Values!$C$13,MONTH(TODAY()),DAY(TODAY())),"yyyymmdd"),TEXT(DATE(YEAR(Values!$C$10)+Values!$C$13,MONTH(Values!$C$10),DAY(Values!$C$10)),"yyyymmdd")))</f>
        <v/>
      </c>
      <c r="AM39" s="86"/>
      <c r="AN39" s="173" t="s">
        <v>154</v>
      </c>
      <c r="AO39" s="174" t="str">
        <f>IF(ISBLANK(Values!$C$16),"",TRIM(CONCATENATE(Values!$C$16)))</f>
        <v/>
      </c>
      <c r="AQ39" s="84" t="s">
        <v>19</v>
      </c>
      <c r="AR39" s="85"/>
      <c r="AS39" s="86" t="str">
        <f ca="1">IF(ISBLANK(Values!$C$13),"",IF(ISBLANK(Values!$C$10),TEXT(DATE(YEAR(TODAY())+Values!$C$13,MONTH(TODAY()),DAY(TODAY())),"yyyymmdd"),TEXT(DATE(YEAR(Values!$C$10)+Values!$C$13,MONTH(Values!$C$10),DAY(Values!$C$10)),"yyyymmdd")))</f>
        <v/>
      </c>
      <c r="AT39" s="86"/>
      <c r="AU39" s="173" t="s">
        <v>154</v>
      </c>
      <c r="AV39" s="174" t="str">
        <f>IF(ISBLANK(Values!$C$16),"",TRIM(CONCATENATE(Values!$C$16)))</f>
        <v/>
      </c>
      <c r="AX39" s="84" t="s">
        <v>19</v>
      </c>
      <c r="AY39" s="85"/>
      <c r="AZ39" s="86" t="str">
        <f ca="1">IF(ISBLANK(Values!$C$13),"",IF(ISBLANK(Values!$C$10),TEXT(DATE(YEAR(TODAY())+Values!$C$13,MONTH(TODAY()),DAY(TODAY())),"yyyymmdd"),TEXT(DATE(YEAR(Values!$C$10)+Values!$C$13,MONTH(Values!$C$10),DAY(Values!$C$10)),"yyyymmdd")))</f>
        <v/>
      </c>
      <c r="BA39" s="86"/>
      <c r="BB39" s="173" t="s">
        <v>154</v>
      </c>
      <c r="BC39" s="174" t="str">
        <f>IF(ISBLANK(Values!$C$16),"",TRIM(CONCATENATE(Values!$C$16)))</f>
        <v/>
      </c>
      <c r="BE39" s="84" t="s">
        <v>19</v>
      </c>
      <c r="BF39" s="85"/>
      <c r="BG39" s="86" t="str">
        <f ca="1">IF(ISBLANK(Values!$D$13),"",IF(ISBLANK(Values!$D$10),TEXT(DATE(YEAR(TODAY())+Values!$D$13,MONTH(TODAY()),DAY(TODAY())),"yyyymmdd"),TEXT(DATE(YEAR(Values!$D$10)+Values!$D$13,MONTH(Values!$D$10),DAY(Values!$D$10)),"yyyymmdd")))</f>
        <v/>
      </c>
      <c r="BH39" s="86"/>
      <c r="BI39" s="173" t="s">
        <v>154</v>
      </c>
      <c r="BJ39" s="174" t="str">
        <f>IF(ISBLANK(Values!$D$16),"",TRIM(CONCATENATE(Values!$D$16)))</f>
        <v/>
      </c>
      <c r="BL39" s="84" t="s">
        <v>19</v>
      </c>
      <c r="BM39" s="85"/>
      <c r="BN39" s="86" t="str">
        <f ca="1">IF(ISBLANK(Values!$D$13),"",IF(ISBLANK(Values!$D$10),TEXT(DATE(YEAR(TODAY())+Values!$D$13,MONTH(TODAY()),DAY(TODAY())),"yyyymmdd"),TEXT(DATE(YEAR(Values!$D$10)+Values!$D$13,MONTH(Values!$D$10),DAY(Values!$D$10)),"yyyymmdd")))</f>
        <v/>
      </c>
      <c r="BO39" s="86"/>
      <c r="BP39" s="173" t="s">
        <v>154</v>
      </c>
      <c r="BQ39" s="174" t="str">
        <f>IF(ISBLANK(Values!$D$16),"",TRIM(CONCATENATE(Values!$D$16)))</f>
        <v/>
      </c>
      <c r="BS39" s="84" t="s">
        <v>19</v>
      </c>
      <c r="BT39" s="85"/>
      <c r="BU39" s="86" t="str">
        <f ca="1">IF(ISBLANK(Values!$D$13),"",IF(ISBLANK(Values!$D$10),TEXT(DATE(YEAR(TODAY())+Values!$D$13,MONTH(TODAY()),DAY(TODAY())),"yyyymmdd"),TEXT(DATE(YEAR(Values!$D$10)+Values!$D$13,MONTH(Values!$D$10),DAY(Values!$D$10)),"yyyymmdd")))</f>
        <v/>
      </c>
      <c r="BV39" s="86"/>
      <c r="BW39" s="173" t="s">
        <v>154</v>
      </c>
      <c r="BX39" s="174" t="str">
        <f>IF(ISBLANK(Values!$D$16),"",TRIM(CONCATENATE(Values!$D$16)))</f>
        <v/>
      </c>
      <c r="BZ39" s="84" t="s">
        <v>19</v>
      </c>
      <c r="CA39" s="85"/>
      <c r="CB39" s="86" t="str">
        <f ca="1">IF(ISBLANK(Values!$D$13),"",IF(ISBLANK(Values!$D$10),TEXT(DATE(YEAR(TODAY())+Values!$D$13,MONTH(TODAY()),DAY(TODAY())),"yyyymmdd"),TEXT(DATE(YEAR(Values!$D$10)+Values!$D$13,MONTH(Values!$D$10),DAY(Values!$D$10)),"yyyymmdd")))</f>
        <v/>
      </c>
      <c r="CC39" s="86"/>
      <c r="CD39" s="173" t="s">
        <v>154</v>
      </c>
      <c r="CE39" s="174" t="str">
        <f>IF(ISBLANK(Values!$D$16),"",TRIM(CONCATENATE(Values!$D$16)))</f>
        <v/>
      </c>
      <c r="CG39" s="84" t="s">
        <v>19</v>
      </c>
      <c r="CH39" s="85"/>
      <c r="CI39" s="86" t="str">
        <f ca="1">IF(ISBLANK(Values!$E$13),"",IF(ISBLANK(Values!$E$10),TEXT(DATE(YEAR(TODAY())+Values!$E$13,MONTH(TODAY()),DAY(TODAY())),"yyyymmdd"),TEXT(DATE(YEAR(Values!$E$10)+Values!$E$13,MONTH(Values!$E$10),DAY(Values!$E$10)),"yyyymmdd")))</f>
        <v/>
      </c>
      <c r="CJ39" s="86"/>
      <c r="CK39" s="173" t="s">
        <v>154</v>
      </c>
      <c r="CL39" s="174" t="str">
        <f>IF(ISBLANK(Values!$E$16),"",TRIM(CONCATENATE(Values!$E$16)))</f>
        <v/>
      </c>
      <c r="CN39" s="84" t="s">
        <v>19</v>
      </c>
      <c r="CO39" s="85"/>
      <c r="CP39" s="86" t="str">
        <f ca="1">IF(ISBLANK(Values!$E$13),"",IF(ISBLANK(Values!$E$10),TEXT(DATE(YEAR(TODAY())+Values!$E$13,MONTH(TODAY()),DAY(TODAY())),"yyyymmdd"),TEXT(DATE(YEAR(Values!$E$10)+Values!$E$13,MONTH(Values!$E$10),DAY(Values!$E$10)),"yyyymmdd")))</f>
        <v/>
      </c>
      <c r="CQ39" s="86"/>
      <c r="CR39" s="173" t="s">
        <v>154</v>
      </c>
      <c r="CS39" s="174" t="str">
        <f>IF(ISBLANK(Values!$E$16),"",TRIM(CONCATENATE(Values!$E$16)))</f>
        <v/>
      </c>
      <c r="CU39" s="84" t="s">
        <v>19</v>
      </c>
      <c r="CV39" s="85"/>
      <c r="CW39" s="86" t="str">
        <f ca="1">IF(ISBLANK(Values!$E$13),"",IF(ISBLANK(Values!$E$10),TEXT(DATE(YEAR(TODAY())+Values!$E$13,MONTH(TODAY()),DAY(TODAY())),"yyyymmdd"),TEXT(DATE(YEAR(Values!$E$10)+Values!$E$13,MONTH(Values!$E$10),DAY(Values!$E$10)),"yyyymmdd")))</f>
        <v/>
      </c>
      <c r="CX39" s="86"/>
      <c r="CY39" s="173" t="s">
        <v>154</v>
      </c>
      <c r="CZ39" s="174" t="str">
        <f>IF(ISBLANK(Values!$E$16),"",TRIM(CONCATENATE(Values!$E$16)))</f>
        <v/>
      </c>
      <c r="DB39" s="84" t="s">
        <v>19</v>
      </c>
      <c r="DC39" s="85"/>
      <c r="DD39" s="86" t="str">
        <f ca="1">IF(ISBLANK(Values!$E$13),"",IF(ISBLANK(Values!$E$10),TEXT(DATE(YEAR(TODAY())+Values!$E$13,MONTH(TODAY()),DAY(TODAY())),"yyyymmdd"),TEXT(DATE(YEAR(Values!$E$10)+Values!$E$13,MONTH(Values!$E$10),DAY(Values!$E$10)),"yyyymmdd")))</f>
        <v/>
      </c>
      <c r="DE39" s="86"/>
      <c r="DF39" s="173" t="s">
        <v>154</v>
      </c>
      <c r="DG39" s="174" t="str">
        <f>IF(ISBLANK(Values!$E$16),"",TRIM(CONCATENATE(Values!$E$16)))</f>
        <v/>
      </c>
    </row>
    <row r="40" spans="1:111" s="23" customFormat="1" ht="11.1" customHeight="1" thickBot="1" x14ac:dyDescent="0.25">
      <c r="A40" s="103" t="s">
        <v>20</v>
      </c>
      <c r="B40" s="104"/>
      <c r="C40" s="104"/>
      <c r="D40" s="104"/>
      <c r="E40" s="104"/>
      <c r="F40" s="105"/>
      <c r="H40" s="103" t="s">
        <v>20</v>
      </c>
      <c r="I40" s="104"/>
      <c r="J40" s="104"/>
      <c r="K40" s="104"/>
      <c r="L40" s="104"/>
      <c r="M40" s="105"/>
      <c r="O40" s="103" t="s">
        <v>20</v>
      </c>
      <c r="P40" s="104"/>
      <c r="Q40" s="104"/>
      <c r="R40" s="104"/>
      <c r="S40" s="104"/>
      <c r="T40" s="105"/>
      <c r="V40" s="103" t="s">
        <v>20</v>
      </c>
      <c r="W40" s="104"/>
      <c r="X40" s="104"/>
      <c r="Y40" s="104"/>
      <c r="Z40" s="104"/>
      <c r="AA40" s="105"/>
      <c r="AC40" s="103" t="s">
        <v>20</v>
      </c>
      <c r="AD40" s="104"/>
      <c r="AE40" s="104"/>
      <c r="AF40" s="104"/>
      <c r="AG40" s="104"/>
      <c r="AH40" s="105"/>
      <c r="AJ40" s="103" t="s">
        <v>20</v>
      </c>
      <c r="AK40" s="104"/>
      <c r="AL40" s="104"/>
      <c r="AM40" s="104"/>
      <c r="AN40" s="104"/>
      <c r="AO40" s="105"/>
      <c r="AQ40" s="103" t="s">
        <v>20</v>
      </c>
      <c r="AR40" s="104"/>
      <c r="AS40" s="104"/>
      <c r="AT40" s="104"/>
      <c r="AU40" s="104"/>
      <c r="AV40" s="105"/>
      <c r="AX40" s="103" t="s">
        <v>20</v>
      </c>
      <c r="AY40" s="104"/>
      <c r="AZ40" s="104"/>
      <c r="BA40" s="104"/>
      <c r="BB40" s="104"/>
      <c r="BC40" s="105"/>
      <c r="BE40" s="103" t="s">
        <v>20</v>
      </c>
      <c r="BF40" s="104"/>
      <c r="BG40" s="104"/>
      <c r="BH40" s="104"/>
      <c r="BI40" s="104"/>
      <c r="BJ40" s="105"/>
      <c r="BL40" s="103" t="s">
        <v>20</v>
      </c>
      <c r="BM40" s="104"/>
      <c r="BN40" s="104"/>
      <c r="BO40" s="104"/>
      <c r="BP40" s="104"/>
      <c r="BQ40" s="105"/>
      <c r="BS40" s="103" t="s">
        <v>20</v>
      </c>
      <c r="BT40" s="104"/>
      <c r="BU40" s="104"/>
      <c r="BV40" s="104"/>
      <c r="BW40" s="104"/>
      <c r="BX40" s="105"/>
      <c r="BZ40" s="103" t="s">
        <v>20</v>
      </c>
      <c r="CA40" s="104"/>
      <c r="CB40" s="104"/>
      <c r="CC40" s="104"/>
      <c r="CD40" s="104"/>
      <c r="CE40" s="105"/>
      <c r="CG40" s="103" t="s">
        <v>20</v>
      </c>
      <c r="CH40" s="104"/>
      <c r="CI40" s="104"/>
      <c r="CJ40" s="104"/>
      <c r="CK40" s="104"/>
      <c r="CL40" s="105"/>
      <c r="CN40" s="103" t="s">
        <v>20</v>
      </c>
      <c r="CO40" s="104"/>
      <c r="CP40" s="104"/>
      <c r="CQ40" s="104"/>
      <c r="CR40" s="104"/>
      <c r="CS40" s="105"/>
      <c r="CU40" s="103" t="s">
        <v>20</v>
      </c>
      <c r="CV40" s="104"/>
      <c r="CW40" s="104"/>
      <c r="CX40" s="104"/>
      <c r="CY40" s="104"/>
      <c r="CZ40" s="105"/>
      <c r="DB40" s="103" t="s">
        <v>20</v>
      </c>
      <c r="DC40" s="104"/>
      <c r="DD40" s="104"/>
      <c r="DE40" s="104"/>
      <c r="DF40" s="104"/>
      <c r="DG40" s="105"/>
    </row>
    <row r="41" spans="1:111" ht="3" customHeight="1" x14ac:dyDescent="0.2">
      <c r="A41" s="114"/>
      <c r="B41" s="114"/>
      <c r="C41" s="114"/>
      <c r="D41" s="114"/>
      <c r="E41" s="114"/>
      <c r="F41" s="114"/>
      <c r="H41" s="114"/>
      <c r="I41" s="114"/>
      <c r="J41" s="114"/>
      <c r="K41" s="114"/>
      <c r="L41" s="114"/>
      <c r="M41" s="114"/>
      <c r="O41" s="114"/>
      <c r="P41" s="114"/>
      <c r="Q41" s="114"/>
      <c r="R41" s="114"/>
      <c r="S41" s="114"/>
      <c r="T41" s="114"/>
      <c r="V41" s="114"/>
      <c r="W41" s="114"/>
      <c r="X41" s="114"/>
      <c r="Y41" s="114"/>
      <c r="Z41" s="114"/>
      <c r="AA41" s="114"/>
      <c r="AC41" s="114"/>
      <c r="AD41" s="114"/>
      <c r="AE41" s="114"/>
      <c r="AF41" s="114"/>
      <c r="AG41" s="114"/>
      <c r="AH41" s="114"/>
      <c r="AJ41" s="114"/>
      <c r="AK41" s="114"/>
      <c r="AL41" s="114"/>
      <c r="AM41" s="114"/>
      <c r="AN41" s="114"/>
      <c r="AO41" s="114"/>
      <c r="AQ41" s="114"/>
      <c r="AR41" s="114"/>
      <c r="AS41" s="114"/>
      <c r="AT41" s="114"/>
      <c r="AU41" s="114"/>
      <c r="AV41" s="114"/>
      <c r="AX41" s="114"/>
      <c r="AY41" s="114"/>
      <c r="AZ41" s="114"/>
      <c r="BA41" s="114"/>
      <c r="BB41" s="114"/>
      <c r="BC41" s="114"/>
      <c r="BE41" s="114"/>
      <c r="BF41" s="114"/>
      <c r="BG41" s="114"/>
      <c r="BH41" s="114"/>
      <c r="BI41" s="114"/>
      <c r="BJ41" s="114"/>
      <c r="BL41" s="114"/>
      <c r="BM41" s="114"/>
      <c r="BN41" s="114"/>
      <c r="BO41" s="114"/>
      <c r="BP41" s="114"/>
      <c r="BQ41" s="114"/>
      <c r="BS41" s="114"/>
      <c r="BT41" s="114"/>
      <c r="BU41" s="114"/>
      <c r="BV41" s="114"/>
      <c r="BW41" s="114"/>
      <c r="BX41" s="114"/>
      <c r="BZ41" s="114"/>
      <c r="CA41" s="114"/>
      <c r="CB41" s="114"/>
      <c r="CC41" s="114"/>
      <c r="CD41" s="114"/>
      <c r="CE41" s="114"/>
      <c r="CG41" s="114"/>
      <c r="CH41" s="114"/>
      <c r="CI41" s="114"/>
      <c r="CJ41" s="114"/>
      <c r="CK41" s="114"/>
      <c r="CL41" s="114"/>
      <c r="CN41" s="114"/>
      <c r="CO41" s="114"/>
      <c r="CP41" s="114"/>
      <c r="CQ41" s="114"/>
      <c r="CR41" s="114"/>
      <c r="CS41" s="114"/>
      <c r="CU41" s="114"/>
      <c r="CV41" s="114"/>
      <c r="CW41" s="114"/>
      <c r="CX41" s="114"/>
      <c r="CY41" s="114"/>
      <c r="CZ41" s="114"/>
      <c r="DB41" s="114"/>
      <c r="DC41" s="114"/>
      <c r="DD41" s="114"/>
      <c r="DE41" s="114"/>
      <c r="DF41" s="114"/>
      <c r="DG41" s="114"/>
    </row>
    <row r="42" spans="1:111" ht="3" customHeight="1" thickBot="1" x14ac:dyDescent="0.25">
      <c r="A42" s="99"/>
      <c r="B42" s="99"/>
      <c r="C42" s="99"/>
      <c r="D42" s="99"/>
      <c r="E42" s="99"/>
      <c r="F42" s="99"/>
      <c r="H42" s="99"/>
      <c r="I42" s="99"/>
      <c r="J42" s="99"/>
      <c r="K42" s="99"/>
      <c r="L42" s="99"/>
      <c r="M42" s="99"/>
      <c r="O42" s="99"/>
      <c r="P42" s="99"/>
      <c r="Q42" s="99"/>
      <c r="R42" s="99"/>
      <c r="S42" s="99"/>
      <c r="T42" s="99"/>
      <c r="V42" s="99"/>
      <c r="W42" s="99"/>
      <c r="X42" s="99"/>
      <c r="Y42" s="99"/>
      <c r="Z42" s="99"/>
      <c r="AA42" s="99"/>
      <c r="AC42" s="99"/>
      <c r="AD42" s="99"/>
      <c r="AE42" s="99"/>
      <c r="AF42" s="99"/>
      <c r="AG42" s="99"/>
      <c r="AH42" s="99"/>
      <c r="AJ42" s="99"/>
      <c r="AK42" s="99"/>
      <c r="AL42" s="99"/>
      <c r="AM42" s="99"/>
      <c r="AN42" s="99"/>
      <c r="AO42" s="99"/>
      <c r="AQ42" s="99"/>
      <c r="AR42" s="99"/>
      <c r="AS42" s="99"/>
      <c r="AT42" s="99"/>
      <c r="AU42" s="99"/>
      <c r="AV42" s="99"/>
      <c r="AX42" s="99"/>
      <c r="AY42" s="99"/>
      <c r="AZ42" s="99"/>
      <c r="BA42" s="99"/>
      <c r="BB42" s="99"/>
      <c r="BC42" s="99"/>
      <c r="BE42" s="99"/>
      <c r="BF42" s="99"/>
      <c r="BG42" s="99"/>
      <c r="BH42" s="99"/>
      <c r="BI42" s="99"/>
      <c r="BJ42" s="99"/>
      <c r="BL42" s="99"/>
      <c r="BM42" s="99"/>
      <c r="BN42" s="99"/>
      <c r="BO42" s="99"/>
      <c r="BP42" s="99"/>
      <c r="BQ42" s="99"/>
      <c r="BS42" s="99"/>
      <c r="BT42" s="99"/>
      <c r="BU42" s="99"/>
      <c r="BV42" s="99"/>
      <c r="BW42" s="99"/>
      <c r="BX42" s="99"/>
      <c r="BZ42" s="99"/>
      <c r="CA42" s="99"/>
      <c r="CB42" s="99"/>
      <c r="CC42" s="99"/>
      <c r="CD42" s="99"/>
      <c r="CE42" s="99"/>
      <c r="CG42" s="99"/>
      <c r="CH42" s="99"/>
      <c r="CI42" s="99"/>
      <c r="CJ42" s="99"/>
      <c r="CK42" s="99"/>
      <c r="CL42" s="99"/>
      <c r="CN42" s="99"/>
      <c r="CO42" s="99"/>
      <c r="CP42" s="99"/>
      <c r="CQ42" s="99"/>
      <c r="CR42" s="99"/>
      <c r="CS42" s="99"/>
      <c r="CU42" s="99"/>
      <c r="CV42" s="99"/>
      <c r="CW42" s="99"/>
      <c r="CX42" s="99"/>
      <c r="CY42" s="99"/>
      <c r="CZ42" s="99"/>
      <c r="DB42" s="99"/>
      <c r="DC42" s="99"/>
      <c r="DD42" s="99"/>
      <c r="DE42" s="99"/>
      <c r="DF42" s="99"/>
      <c r="DG42" s="99"/>
    </row>
    <row r="43" spans="1:111" ht="18" customHeight="1" thickBot="1" x14ac:dyDescent="0.25">
      <c r="A43" s="100" t="str">
        <f>IF(ISBLANK(Values!$B$14),"",IF(ISBLANK(Values!$B$10),TRIM(UPPER(CONCATENATE(Values!$B$14,Values!$B$15))),TRIM(UPPER(CONCATENATE(Values!$B$14,Values!$B$15)))))</f>
        <v/>
      </c>
      <c r="B43" s="101"/>
      <c r="C43" s="101"/>
      <c r="D43" s="101"/>
      <c r="E43" s="101"/>
      <c r="F43" s="102"/>
      <c r="H43" s="100" t="str">
        <f>IF(ISBLANK(Values!$B$14),"",IF(ISBLANK(Values!$B$10),TRIM(UPPER(CONCATENATE(Values!$B$14,Values!$B$15))),TRIM(UPPER(CONCATENATE(Values!$B$14,Values!$B$15)))))</f>
        <v/>
      </c>
      <c r="I43" s="101"/>
      <c r="J43" s="101"/>
      <c r="K43" s="101"/>
      <c r="L43" s="101"/>
      <c r="M43" s="102"/>
      <c r="O43" s="100" t="str">
        <f>IF(ISBLANK(Values!$B$14),"",IF(ISBLANK(Values!$B$10),TRIM(UPPER(CONCATENATE(Values!$B$14,Values!$B$15))),TRIM(UPPER(CONCATENATE(Values!$B$14,Values!$B$15)))))</f>
        <v/>
      </c>
      <c r="P43" s="101"/>
      <c r="Q43" s="101"/>
      <c r="R43" s="101"/>
      <c r="S43" s="101"/>
      <c r="T43" s="102"/>
      <c r="V43" s="100" t="str">
        <f>IF(ISBLANK(Values!$B$14),"",IF(ISBLANK(Values!$B$10),TRIM(UPPER(CONCATENATE(Values!$B$14,Values!$B$15))),TRIM(UPPER(CONCATENATE(Values!$B$14,Values!$B$15)))))</f>
        <v/>
      </c>
      <c r="W43" s="101"/>
      <c r="X43" s="101"/>
      <c r="Y43" s="101"/>
      <c r="Z43" s="101"/>
      <c r="AA43" s="102"/>
      <c r="AC43" s="100" t="str">
        <f>IF(ISBLANK(Values!$C$14),"",IF(ISBLANK(Values!$C$10),TRIM(UPPER(CONCATENATE(Values!$C$14,Values!$C$15))),TRIM(UPPER(CONCATENATE(Values!$C$14,Values!$C$15)))))</f>
        <v/>
      </c>
      <c r="AD43" s="101"/>
      <c r="AE43" s="101"/>
      <c r="AF43" s="101"/>
      <c r="AG43" s="101"/>
      <c r="AH43" s="102"/>
      <c r="AJ43" s="100" t="str">
        <f>IF(ISBLANK(Values!$C$14),"",IF(ISBLANK(Values!$C$10),TRIM(UPPER(CONCATENATE(Values!$C$14,Values!$C$15))),TRIM(UPPER(CONCATENATE(Values!$C$14,Values!$C$15)))))</f>
        <v/>
      </c>
      <c r="AK43" s="101"/>
      <c r="AL43" s="101"/>
      <c r="AM43" s="101"/>
      <c r="AN43" s="101"/>
      <c r="AO43" s="102"/>
      <c r="AQ43" s="100" t="str">
        <f>IF(ISBLANK(Values!$C$14),"",IF(ISBLANK(Values!$C$10),TRIM(UPPER(CONCATENATE(Values!$C$14,Values!$C$15))),TRIM(UPPER(CONCATENATE(Values!$C$14,Values!$C$15)))))</f>
        <v/>
      </c>
      <c r="AR43" s="101"/>
      <c r="AS43" s="101"/>
      <c r="AT43" s="101"/>
      <c r="AU43" s="101"/>
      <c r="AV43" s="102"/>
      <c r="AX43" s="100" t="str">
        <f>IF(ISBLANK(Values!$C$14),"",IF(ISBLANK(Values!$C$10),TRIM(UPPER(CONCATENATE(Values!$C$14,Values!$C$15))),TRIM(UPPER(CONCATENATE(Values!$C$14,Values!$C$15)))))</f>
        <v/>
      </c>
      <c r="AY43" s="101"/>
      <c r="AZ43" s="101"/>
      <c r="BA43" s="101"/>
      <c r="BB43" s="101"/>
      <c r="BC43" s="102"/>
      <c r="BE43" s="100" t="str">
        <f>IF(ISBLANK(Values!$D$14),"",IF(ISBLANK(Values!$D$10),TRIM(UPPER(CONCATENATE(Values!$D$14,Values!$D$15))),TRIM(UPPER(CONCATENATE(Values!$D$14,Values!$D$15)))))</f>
        <v/>
      </c>
      <c r="BF43" s="101"/>
      <c r="BG43" s="101"/>
      <c r="BH43" s="101"/>
      <c r="BI43" s="101"/>
      <c r="BJ43" s="102"/>
      <c r="BL43" s="100" t="str">
        <f>IF(ISBLANK(Values!$D$14),"",IF(ISBLANK(Values!$D$10),TRIM(UPPER(CONCATENATE(Values!$D$14,Values!$D$15))),TRIM(UPPER(CONCATENATE(Values!$D$14,Values!$D$15)))))</f>
        <v/>
      </c>
      <c r="BM43" s="101"/>
      <c r="BN43" s="101"/>
      <c r="BO43" s="101"/>
      <c r="BP43" s="101"/>
      <c r="BQ43" s="102"/>
      <c r="BS43" s="100" t="str">
        <f>IF(ISBLANK(Values!$D$14),"",IF(ISBLANK(Values!$D$10),TRIM(UPPER(CONCATENATE(Values!$D$14,Values!$D$15))),TRIM(UPPER(CONCATENATE(Values!$D$14,Values!$D$15)))))</f>
        <v/>
      </c>
      <c r="BT43" s="101"/>
      <c r="BU43" s="101"/>
      <c r="BV43" s="101"/>
      <c r="BW43" s="101"/>
      <c r="BX43" s="102"/>
      <c r="BZ43" s="100" t="str">
        <f>IF(ISBLANK(Values!$D$14),"",IF(ISBLANK(Values!$D$10),TRIM(UPPER(CONCATENATE(Values!$D$14,Values!$D$15))),TRIM(UPPER(CONCATENATE(Values!$D$14,Values!$D$15)))))</f>
        <v/>
      </c>
      <c r="CA43" s="101"/>
      <c r="CB43" s="101"/>
      <c r="CC43" s="101"/>
      <c r="CD43" s="101"/>
      <c r="CE43" s="102"/>
      <c r="CG43" s="100" t="str">
        <f>IF(ISBLANK(Values!$E$14),"",IF(ISBLANK(Values!$E$10),TRIM(UPPER(CONCATENATE(Values!$E$14,Values!$E$15))),TRIM(UPPER(CONCATENATE(Values!$E$14,Values!$E$15)))))</f>
        <v/>
      </c>
      <c r="CH43" s="101"/>
      <c r="CI43" s="101"/>
      <c r="CJ43" s="101"/>
      <c r="CK43" s="101"/>
      <c r="CL43" s="102"/>
      <c r="CN43" s="100" t="str">
        <f>IF(ISBLANK(Values!$E$14),"",IF(ISBLANK(Values!$E$10),TRIM(UPPER(CONCATENATE(Values!$E$14,Values!$E$15))),TRIM(UPPER(CONCATENATE(Values!$E$14,Values!$E$15)))))</f>
        <v/>
      </c>
      <c r="CO43" s="101"/>
      <c r="CP43" s="101"/>
      <c r="CQ43" s="101"/>
      <c r="CR43" s="101"/>
      <c r="CS43" s="102"/>
      <c r="CU43" s="100" t="str">
        <f>IF(ISBLANK(Values!$E$14),"",IF(ISBLANK(Values!$E$10),TRIM(UPPER(CONCATENATE(Values!$E$14,Values!$E$15))),TRIM(UPPER(CONCATENATE(Values!$E$14,Values!$E$15)))))</f>
        <v/>
      </c>
      <c r="CV43" s="101"/>
      <c r="CW43" s="101"/>
      <c r="CX43" s="101"/>
      <c r="CY43" s="101"/>
      <c r="CZ43" s="102"/>
      <c r="DB43" s="100" t="str">
        <f>IF(ISBLANK(Values!$E$14),"",IF(ISBLANK(Values!$E$10),TRIM(UPPER(CONCATENATE(Values!$E$14,Values!$E$15))),TRIM(UPPER(CONCATENATE(Values!$E$14,Values!$E$15)))))</f>
        <v/>
      </c>
      <c r="DC43" s="101"/>
      <c r="DD43" s="101"/>
      <c r="DE43" s="101"/>
      <c r="DF43" s="101"/>
      <c r="DG43" s="102"/>
    </row>
    <row r="44" spans="1:111" ht="9.9499999999999993" customHeight="1" x14ac:dyDescent="0.2">
      <c r="A44" s="87" t="str">
        <f>TRIM(Values!$B$4)</f>
        <v>Lockheed Martin Missiles and Fire Control</v>
      </c>
      <c r="B44" s="88"/>
      <c r="C44" s="88"/>
      <c r="D44" s="88"/>
      <c r="E44" s="88"/>
      <c r="F44" s="89"/>
      <c r="H44" s="87" t="str">
        <f>TRIM(Values!$B$4)</f>
        <v>Lockheed Martin Missiles and Fire Control</v>
      </c>
      <c r="I44" s="88"/>
      <c r="J44" s="88"/>
      <c r="K44" s="88"/>
      <c r="L44" s="88"/>
      <c r="M44" s="89"/>
      <c r="O44" s="87" t="str">
        <f>TRIM(Values!$B$4)</f>
        <v>Lockheed Martin Missiles and Fire Control</v>
      </c>
      <c r="P44" s="88"/>
      <c r="Q44" s="88"/>
      <c r="R44" s="88"/>
      <c r="S44" s="88"/>
      <c r="T44" s="89"/>
      <c r="V44" s="87" t="str">
        <f>TRIM(Values!$B$4)</f>
        <v>Lockheed Martin Missiles and Fire Control</v>
      </c>
      <c r="W44" s="88"/>
      <c r="X44" s="88"/>
      <c r="Y44" s="88"/>
      <c r="Z44" s="88"/>
      <c r="AA44" s="89"/>
      <c r="AC44" s="90" t="str">
        <f>TRIM(Values!$C$4)</f>
        <v/>
      </c>
      <c r="AD44" s="91"/>
      <c r="AE44" s="91"/>
      <c r="AF44" s="91"/>
      <c r="AG44" s="91"/>
      <c r="AH44" s="92"/>
      <c r="AJ44" s="90" t="str">
        <f>TRIM(Values!$C$4)</f>
        <v/>
      </c>
      <c r="AK44" s="91"/>
      <c r="AL44" s="91"/>
      <c r="AM44" s="91"/>
      <c r="AN44" s="91"/>
      <c r="AO44" s="92"/>
      <c r="AQ44" s="90" t="str">
        <f>TRIM(Values!$C$4)</f>
        <v/>
      </c>
      <c r="AR44" s="91"/>
      <c r="AS44" s="91"/>
      <c r="AT44" s="91"/>
      <c r="AU44" s="91"/>
      <c r="AV44" s="92"/>
      <c r="AX44" s="90" t="str">
        <f>TRIM(Values!$C$4)</f>
        <v/>
      </c>
      <c r="AY44" s="91"/>
      <c r="AZ44" s="91"/>
      <c r="BA44" s="91"/>
      <c r="BB44" s="91"/>
      <c r="BC44" s="92"/>
      <c r="BE44" s="90" t="str">
        <f>TRIM(Values!$D$4)</f>
        <v/>
      </c>
      <c r="BF44" s="91"/>
      <c r="BG44" s="91"/>
      <c r="BH44" s="91"/>
      <c r="BI44" s="91"/>
      <c r="BJ44" s="92"/>
      <c r="BL44" s="90" t="str">
        <f>TRIM(Values!$D$4)</f>
        <v/>
      </c>
      <c r="BM44" s="91"/>
      <c r="BN44" s="91"/>
      <c r="BO44" s="91"/>
      <c r="BP44" s="91"/>
      <c r="BQ44" s="92"/>
      <c r="BS44" s="90" t="str">
        <f>TRIM(Values!$D$4)</f>
        <v/>
      </c>
      <c r="BT44" s="91"/>
      <c r="BU44" s="91"/>
      <c r="BV44" s="91"/>
      <c r="BW44" s="91"/>
      <c r="BX44" s="92"/>
      <c r="BZ44" s="90" t="str">
        <f>TRIM(Values!$D$4)</f>
        <v/>
      </c>
      <c r="CA44" s="91"/>
      <c r="CB44" s="91"/>
      <c r="CC44" s="91"/>
      <c r="CD44" s="91"/>
      <c r="CE44" s="92"/>
      <c r="CG44" s="90" t="str">
        <f>TRIM(Values!$E$4)</f>
        <v/>
      </c>
      <c r="CH44" s="91"/>
      <c r="CI44" s="91"/>
      <c r="CJ44" s="91"/>
      <c r="CK44" s="91"/>
      <c r="CL44" s="92"/>
      <c r="CN44" s="90" t="str">
        <f>TRIM(Values!$E$4)</f>
        <v/>
      </c>
      <c r="CO44" s="91"/>
      <c r="CP44" s="91"/>
      <c r="CQ44" s="91"/>
      <c r="CR44" s="91"/>
      <c r="CS44" s="92"/>
      <c r="CU44" s="90" t="str">
        <f>TRIM(Values!$E$4)</f>
        <v/>
      </c>
      <c r="CV44" s="91"/>
      <c r="CW44" s="91"/>
      <c r="CX44" s="91"/>
      <c r="CY44" s="91"/>
      <c r="CZ44" s="92"/>
      <c r="DB44" s="90" t="str">
        <f>TRIM(Values!$E$4)</f>
        <v/>
      </c>
      <c r="DC44" s="91"/>
      <c r="DD44" s="91"/>
      <c r="DE44" s="91"/>
      <c r="DF44" s="91"/>
      <c r="DG44" s="92"/>
    </row>
    <row r="45" spans="1:111" ht="9.9499999999999993" customHeight="1" x14ac:dyDescent="0.2">
      <c r="A45" s="93" t="str">
        <f>IF(OR(ISBLANK(Values!$B$5),ISBLANK(Values!$B$6),ISBLANK(Values!$B$7),ISBLANK(Values!$B$8)),"",TRIM(CONCATENATE(Values!$B$5," ▪ ",Values!$B$6,", ",Values!$B$7," ",Values!$B$8)))</f>
        <v>5600 Sand Lake Road ▪ Orlando, FL 32819-8907</v>
      </c>
      <c r="B45" s="94"/>
      <c r="C45" s="94"/>
      <c r="D45" s="94"/>
      <c r="E45" s="94"/>
      <c r="F45" s="95"/>
      <c r="H45" s="93" t="str">
        <f>IF(OR(ISBLANK(Values!$B$5),ISBLANK(Values!$B$6),ISBLANK(Values!$B$7),ISBLANK(Values!$B$8)),"",TRIM(CONCATENATE(Values!$B$5," ▪ ",Values!$B$6,", ",Values!$B$7," ",Values!$B$8)))</f>
        <v>5600 Sand Lake Road ▪ Orlando, FL 32819-8907</v>
      </c>
      <c r="I45" s="94"/>
      <c r="J45" s="94"/>
      <c r="K45" s="94"/>
      <c r="L45" s="94"/>
      <c r="M45" s="95"/>
      <c r="O45" s="93" t="str">
        <f>IF(OR(ISBLANK(Values!$B$5),ISBLANK(Values!$B$6),ISBLANK(Values!$B$7),ISBLANK(Values!$B$8)),"",TRIM(CONCATENATE(Values!$B$5," ▪ ",Values!$B$6,", ",Values!$B$7," ",Values!$B$8)))</f>
        <v>5600 Sand Lake Road ▪ Orlando, FL 32819-8907</v>
      </c>
      <c r="P45" s="94"/>
      <c r="Q45" s="94"/>
      <c r="R45" s="94"/>
      <c r="S45" s="94"/>
      <c r="T45" s="95"/>
      <c r="V45" s="93" t="str">
        <f>IF(OR(ISBLANK(Values!$B$5),ISBLANK(Values!$B$6),ISBLANK(Values!$B$7),ISBLANK(Values!$B$8)),"",TRIM(CONCATENATE(Values!$B$5," ▪ ",Values!$B$6,", ",Values!$B$7," ",Values!$B$8)))</f>
        <v>5600 Sand Lake Road ▪ Orlando, FL 32819-8907</v>
      </c>
      <c r="W45" s="94"/>
      <c r="X45" s="94"/>
      <c r="Y45" s="94"/>
      <c r="Z45" s="94"/>
      <c r="AA45" s="95"/>
      <c r="AC45" s="96" t="str">
        <f>IF(OR(ISBLANK(Values!$C$5),ISBLANK(Values!$C$6),ISBLANK(Values!$C$7),ISBLANK(Values!$C$8)),"",TRIM(CONCATENATE(Values!$C$5," ▪ ",Values!$C$6,", ",Values!$C$7," ",Values!$C$8)))</f>
        <v/>
      </c>
      <c r="AD45" s="97"/>
      <c r="AE45" s="97"/>
      <c r="AF45" s="97"/>
      <c r="AG45" s="97"/>
      <c r="AH45" s="98"/>
      <c r="AJ45" s="96" t="str">
        <f>IF(OR(ISBLANK(Values!$C$5),ISBLANK(Values!$C$6),ISBLANK(Values!$C$7),ISBLANK(Values!$C$8)),"",TRIM(CONCATENATE(Values!$C$5," ▪ ",Values!$C$6,", ",Values!$C$7," ",Values!$C$8)))</f>
        <v/>
      </c>
      <c r="AK45" s="97"/>
      <c r="AL45" s="97"/>
      <c r="AM45" s="97"/>
      <c r="AN45" s="97"/>
      <c r="AO45" s="98"/>
      <c r="AQ45" s="96" t="str">
        <f>IF(OR(ISBLANK(Values!$C$5),ISBLANK(Values!$C$6),ISBLANK(Values!$C$7),ISBLANK(Values!$C$8)),"",TRIM(CONCATENATE(Values!$C$5," ▪ ",Values!$C$6,", ",Values!$C$7," ",Values!$C$8)))</f>
        <v/>
      </c>
      <c r="AR45" s="97"/>
      <c r="AS45" s="97"/>
      <c r="AT45" s="97"/>
      <c r="AU45" s="97"/>
      <c r="AV45" s="98"/>
      <c r="AX45" s="96" t="str">
        <f>IF(OR(ISBLANK(Values!$C$5),ISBLANK(Values!$C$6),ISBLANK(Values!$C$7),ISBLANK(Values!$C$8)),"",TRIM(CONCATENATE(Values!$C$5," ▪ ",Values!$C$6,", ",Values!$C$7," ",Values!$C$8)))</f>
        <v/>
      </c>
      <c r="AY45" s="97"/>
      <c r="AZ45" s="97"/>
      <c r="BA45" s="97"/>
      <c r="BB45" s="97"/>
      <c r="BC45" s="98"/>
      <c r="BE45" s="96" t="str">
        <f>IF(OR(ISBLANK(Values!$D$5),ISBLANK(Values!$D$6),ISBLANK(Values!$D$7),ISBLANK(Values!$D$8)),"",TRIM(CONCATENATE(Values!$D$5," ▪ ",Values!$D$6,", ",Values!$D$7," ",Values!$D$8)))</f>
        <v/>
      </c>
      <c r="BF45" s="97"/>
      <c r="BG45" s="97"/>
      <c r="BH45" s="97"/>
      <c r="BI45" s="97"/>
      <c r="BJ45" s="98"/>
      <c r="BL45" s="96" t="str">
        <f>IF(OR(ISBLANK(Values!$D$5),ISBLANK(Values!$D$6),ISBLANK(Values!$D$7),ISBLANK(Values!$D$8)),"",TRIM(CONCATENATE(Values!$D$5," ▪ ",Values!$D$6,", ",Values!$D$7," ",Values!$D$8)))</f>
        <v/>
      </c>
      <c r="BM45" s="97"/>
      <c r="BN45" s="97"/>
      <c r="BO45" s="97"/>
      <c r="BP45" s="97"/>
      <c r="BQ45" s="98"/>
      <c r="BS45" s="96" t="str">
        <f>IF(OR(ISBLANK(Values!$D$5),ISBLANK(Values!$D$6),ISBLANK(Values!$D$7),ISBLANK(Values!$D$8)),"",TRIM(CONCATENATE(Values!$D$5," ▪ ",Values!$D$6,", ",Values!$D$7," ",Values!$D$8)))</f>
        <v/>
      </c>
      <c r="BT45" s="97"/>
      <c r="BU45" s="97"/>
      <c r="BV45" s="97"/>
      <c r="BW45" s="97"/>
      <c r="BX45" s="98"/>
      <c r="BZ45" s="96" t="str">
        <f>IF(OR(ISBLANK(Values!$D$5),ISBLANK(Values!$D$6),ISBLANK(Values!$D$7),ISBLANK(Values!$D$8)),"",TRIM(CONCATENATE(Values!$D$5," ▪ ",Values!$D$6,", ",Values!$D$7," ",Values!$D$8)))</f>
        <v/>
      </c>
      <c r="CA45" s="97"/>
      <c r="CB45" s="97"/>
      <c r="CC45" s="97"/>
      <c r="CD45" s="97"/>
      <c r="CE45" s="98"/>
      <c r="CG45" s="96" t="str">
        <f>IF(OR(ISBLANK(Values!$E$5),ISBLANK(Values!$E$6),ISBLANK(Values!$E$7),ISBLANK(Values!$E$8)),"",TRIM(CONCATENATE(Values!$E$5," ▪ ",Values!$E$6,", ",Values!$E$7," ",Values!$E$8)))</f>
        <v/>
      </c>
      <c r="CH45" s="97"/>
      <c r="CI45" s="97"/>
      <c r="CJ45" s="97"/>
      <c r="CK45" s="97"/>
      <c r="CL45" s="98"/>
      <c r="CN45" s="96" t="str">
        <f>IF(OR(ISBLANK(Values!$E$5),ISBLANK(Values!$E$6),ISBLANK(Values!$E$7),ISBLANK(Values!$E$8)),"",TRIM(CONCATENATE(Values!$E$5," ▪ ",Values!$E$6,", ",Values!$E$7," ",Values!$E$8)))</f>
        <v/>
      </c>
      <c r="CO45" s="97"/>
      <c r="CP45" s="97"/>
      <c r="CQ45" s="97"/>
      <c r="CR45" s="97"/>
      <c r="CS45" s="98"/>
      <c r="CU45" s="96" t="str">
        <f>IF(OR(ISBLANK(Values!$E$5),ISBLANK(Values!$E$6),ISBLANK(Values!$E$7),ISBLANK(Values!$E$8)),"",TRIM(CONCATENATE(Values!$E$5," ▪ ",Values!$E$6,", ",Values!$E$7," ",Values!$E$8)))</f>
        <v/>
      </c>
      <c r="CV45" s="97"/>
      <c r="CW45" s="97"/>
      <c r="CX45" s="97"/>
      <c r="CY45" s="97"/>
      <c r="CZ45" s="98"/>
      <c r="DB45" s="96" t="str">
        <f>IF(OR(ISBLANK(Values!$E$5),ISBLANK(Values!$E$6),ISBLANK(Values!$E$7),ISBLANK(Values!$E$8)),"",TRIM(CONCATENATE(Values!$E$5," ▪ ",Values!$E$6,", ",Values!$E$7," ",Values!$E$8)))</f>
        <v/>
      </c>
      <c r="DC45" s="97"/>
      <c r="DD45" s="97"/>
      <c r="DE45" s="97"/>
      <c r="DF45" s="97"/>
      <c r="DG45" s="98"/>
    </row>
    <row r="46" spans="1:111" ht="9.9499999999999993" customHeight="1" x14ac:dyDescent="0.2">
      <c r="A46" s="84" t="s">
        <v>153</v>
      </c>
      <c r="B46" s="85"/>
      <c r="C46" s="85"/>
      <c r="D46" s="82" t="str">
        <f>IF(ISBLANK(Values!$B$3),"",TRIM(CONCATENATE(Values!$B$3)))</f>
        <v/>
      </c>
      <c r="E46" s="82"/>
      <c r="F46" s="83"/>
      <c r="H46" s="84" t="s">
        <v>153</v>
      </c>
      <c r="I46" s="85"/>
      <c r="J46" s="85"/>
      <c r="K46" s="82" t="str">
        <f>IF(ISBLANK(Values!$B$3),"",TRIM(CONCATENATE(Values!$B$3)))</f>
        <v/>
      </c>
      <c r="L46" s="82"/>
      <c r="M46" s="83"/>
      <c r="O46" s="84" t="s">
        <v>153</v>
      </c>
      <c r="P46" s="85"/>
      <c r="Q46" s="85"/>
      <c r="R46" s="82" t="str">
        <f>IF(ISBLANK(Values!$B$3),"",TRIM(CONCATENATE(Values!$B$3)))</f>
        <v/>
      </c>
      <c r="S46" s="82"/>
      <c r="T46" s="83"/>
      <c r="V46" s="84" t="s">
        <v>153</v>
      </c>
      <c r="W46" s="85"/>
      <c r="X46" s="85"/>
      <c r="Y46" s="82" t="str">
        <f>IF(ISBLANK(Values!$B$3),"",TRIM(CONCATENATE(Values!$B$3)))</f>
        <v/>
      </c>
      <c r="Z46" s="82"/>
      <c r="AA46" s="83"/>
      <c r="AC46" s="84" t="s">
        <v>153</v>
      </c>
      <c r="AD46" s="85"/>
      <c r="AE46" s="85"/>
      <c r="AF46" s="82" t="str">
        <f>IF(ISBLANK(Values!$C$3),"",TRIM(CONCATENATE(Values!$C$3)))</f>
        <v/>
      </c>
      <c r="AG46" s="82"/>
      <c r="AH46" s="83"/>
      <c r="AJ46" s="84" t="s">
        <v>153</v>
      </c>
      <c r="AK46" s="85"/>
      <c r="AL46" s="85"/>
      <c r="AM46" s="82" t="str">
        <f>IF(ISBLANK(Values!$C$3),"",TRIM(CONCATENATE(Values!$C$3)))</f>
        <v/>
      </c>
      <c r="AN46" s="82"/>
      <c r="AO46" s="83"/>
      <c r="AQ46" s="84" t="s">
        <v>153</v>
      </c>
      <c r="AR46" s="85"/>
      <c r="AS46" s="85"/>
      <c r="AT46" s="82" t="str">
        <f>IF(ISBLANK(Values!$C$3),"",TRIM(CONCATENATE(Values!$C$3)))</f>
        <v/>
      </c>
      <c r="AU46" s="82"/>
      <c r="AV46" s="83"/>
      <c r="AX46" s="84" t="s">
        <v>153</v>
      </c>
      <c r="AY46" s="85"/>
      <c r="AZ46" s="85"/>
      <c r="BA46" s="82" t="str">
        <f>IF(ISBLANK(Values!$C$3),"",TRIM(CONCATENATE(Values!$C$3)))</f>
        <v/>
      </c>
      <c r="BB46" s="82"/>
      <c r="BC46" s="83"/>
      <c r="BE46" s="84" t="s">
        <v>153</v>
      </c>
      <c r="BF46" s="85"/>
      <c r="BG46" s="85"/>
      <c r="BH46" s="82" t="str">
        <f>IF(ISBLANK(Values!$D$3),"",TRIM(CONCATENATE(Values!$D$3)))</f>
        <v/>
      </c>
      <c r="BI46" s="82"/>
      <c r="BJ46" s="83"/>
      <c r="BL46" s="84" t="s">
        <v>153</v>
      </c>
      <c r="BM46" s="85"/>
      <c r="BN46" s="85"/>
      <c r="BO46" s="82" t="str">
        <f>IF(ISBLANK(Values!$D$3),"",TRIM(CONCATENATE(Values!$D$3)))</f>
        <v/>
      </c>
      <c r="BP46" s="82"/>
      <c r="BQ46" s="83"/>
      <c r="BS46" s="84" t="s">
        <v>153</v>
      </c>
      <c r="BT46" s="85"/>
      <c r="BU46" s="85"/>
      <c r="BV46" s="82" t="str">
        <f>IF(ISBLANK(Values!$D$3),"",TRIM(CONCATENATE(Values!$D$3)))</f>
        <v/>
      </c>
      <c r="BW46" s="82"/>
      <c r="BX46" s="83"/>
      <c r="BZ46" s="84" t="s">
        <v>153</v>
      </c>
      <c r="CA46" s="85"/>
      <c r="CB46" s="85"/>
      <c r="CC46" s="82" t="str">
        <f>IF(ISBLANK(Values!$D$3),"",TRIM(CONCATENATE(Values!$D$3)))</f>
        <v/>
      </c>
      <c r="CD46" s="82"/>
      <c r="CE46" s="83"/>
      <c r="CG46" s="84" t="s">
        <v>153</v>
      </c>
      <c r="CH46" s="85"/>
      <c r="CI46" s="85"/>
      <c r="CJ46" s="82" t="str">
        <f>IF(ISBLANK(Values!$E$3),"",TRIM(CONCATENATE(Values!$E$3)))</f>
        <v/>
      </c>
      <c r="CK46" s="82"/>
      <c r="CL46" s="83"/>
      <c r="CN46" s="84" t="s">
        <v>153</v>
      </c>
      <c r="CO46" s="85"/>
      <c r="CP46" s="85"/>
      <c r="CQ46" s="82" t="str">
        <f>IF(ISBLANK(Values!$E$3),"",TRIM(CONCATENATE(Values!$E$3)))</f>
        <v/>
      </c>
      <c r="CR46" s="82"/>
      <c r="CS46" s="83"/>
      <c r="CU46" s="84" t="s">
        <v>153</v>
      </c>
      <c r="CV46" s="85"/>
      <c r="CW46" s="85"/>
      <c r="CX46" s="82" t="str">
        <f>IF(ISBLANK(Values!$E$3),"",TRIM(CONCATENATE(Values!$E$3)))</f>
        <v/>
      </c>
      <c r="CY46" s="82"/>
      <c r="CZ46" s="83"/>
      <c r="DB46" s="84" t="s">
        <v>153</v>
      </c>
      <c r="DC46" s="85"/>
      <c r="DD46" s="85"/>
      <c r="DE46" s="82" t="str">
        <f>IF(ISBLANK(Values!$E$3),"",TRIM(CONCATENATE(Values!$E$3)))</f>
        <v/>
      </c>
      <c r="DF46" s="82"/>
      <c r="DG46" s="83"/>
    </row>
    <row r="47" spans="1:111" ht="9.9499999999999993" customHeight="1" x14ac:dyDescent="0.2">
      <c r="A47" s="55" t="s">
        <v>14</v>
      </c>
      <c r="B47" s="108" t="str">
        <f>IF(OR(ISBLANK(Values!$B$9),ISBLANK(Values!$B$19),ISBLANK(Values!$B$20),ISBLANK(Values!$B$21),ISBLANK(Values!$B$22)),"",TRIM(CONCATENATE(Values!$B$9," ",Values!$B$19,"; ",Values!$B$21," ",Values!$B$20,"; ",(UPPER(Values!$B$22)))))</f>
        <v/>
      </c>
      <c r="C47" s="108"/>
      <c r="D47" s="108"/>
      <c r="E47" s="108"/>
      <c r="F47" s="109"/>
      <c r="H47" s="55" t="s">
        <v>14</v>
      </c>
      <c r="I47" s="108" t="str">
        <f>IF(OR(ISBLANK(Values!$B$9),ISBLANK(Values!$B$23),ISBLANK(Values!$B$24),ISBLANK(Values!$B$25),ISBLANK(Values!$B$26)),"",TRIM(CONCATENATE(Values!$B$9," ",Values!$B$23,"; ",Values!$B$25," ",Values!$B$24,"; ",(UPPER(Values!$B$26)))))</f>
        <v/>
      </c>
      <c r="J47" s="108"/>
      <c r="K47" s="108"/>
      <c r="L47" s="108"/>
      <c r="M47" s="109"/>
      <c r="O47" s="55" t="s">
        <v>14</v>
      </c>
      <c r="P47" s="108" t="str">
        <f>IF(OR(ISBLANK(Values!$B$9),ISBLANK(Values!$B$27),ISBLANK(Values!$B$28),ISBLANK(Values!$B$29),ISBLANK(Values!$B$30)),"",TRIM(CONCATENATE(Values!$B$9," ",Values!$B$27,"; ",Values!$B$29," ",Values!$B$28,"; ",(UPPER(Values!$B$30)))))</f>
        <v/>
      </c>
      <c r="Q47" s="108"/>
      <c r="R47" s="108"/>
      <c r="S47" s="108"/>
      <c r="T47" s="109"/>
      <c r="V47" s="55" t="s">
        <v>14</v>
      </c>
      <c r="W47" s="108" t="str">
        <f>IF(OR(ISBLANK(Values!$B$9),ISBLANK(Values!$B$31),ISBLANK(Values!$B$32),ISBLANK(Values!$B$33),ISBLANK(Values!$B$34)),"",TRIM(CONCATENATE(Values!$B$9," ",Values!$B$31,"; ",Values!$B$33," ",Values!$B$32,"; ",(UPPER(Values!$B$34)))))</f>
        <v/>
      </c>
      <c r="X47" s="108"/>
      <c r="Y47" s="108"/>
      <c r="Z47" s="108"/>
      <c r="AA47" s="109"/>
      <c r="AC47" s="57" t="s">
        <v>14</v>
      </c>
      <c r="AD47" s="108" t="str">
        <f>IF(OR(ISBLANK(Values!$C$9),ISBLANK(Values!$C$19),ISBLANK(Values!$C$20),ISBLANK(Values!$C$21),ISBLANK(Values!$C$22)),"",TRIM(CONCATENATE(Values!$C$9," ",Values!$C$19,"; ",Values!$C$21," ",Values!$C$20,"; ",(UPPER(Values!$C$22)))))</f>
        <v/>
      </c>
      <c r="AE47" s="108"/>
      <c r="AF47" s="108"/>
      <c r="AG47" s="108"/>
      <c r="AH47" s="109"/>
      <c r="AJ47" s="57" t="s">
        <v>14</v>
      </c>
      <c r="AK47" s="108" t="str">
        <f>IF(OR(ISBLANK(Values!$C$9),ISBLANK(Values!$C$23),ISBLANK(Values!$C$24),ISBLANK(Values!$C$25),ISBLANK(Values!$C$26)),"",TRIM(CONCATENATE(Values!$C$9," ",Values!$C$23,"; ",Values!$C$25," ",Values!$C$24,"; ",(UPPER(Values!$C$26)))))</f>
        <v/>
      </c>
      <c r="AL47" s="108"/>
      <c r="AM47" s="108"/>
      <c r="AN47" s="108"/>
      <c r="AO47" s="109"/>
      <c r="AQ47" s="57" t="s">
        <v>14</v>
      </c>
      <c r="AR47" s="108" t="str">
        <f>IF(OR(ISBLANK(Values!$C$9),ISBLANK(Values!$C$27),ISBLANK(Values!$C$28),ISBLANK(Values!$C$29),ISBLANK(Values!$C$30)),"",TRIM(CONCATENATE(Values!$C$9," ",Values!$C$27,"; ",Values!$C$29," ",Values!$C$28,"; ",(UPPER(Values!$C$30)))))</f>
        <v/>
      </c>
      <c r="AS47" s="108"/>
      <c r="AT47" s="108"/>
      <c r="AU47" s="108"/>
      <c r="AV47" s="109"/>
      <c r="AX47" s="57" t="s">
        <v>14</v>
      </c>
      <c r="AY47" s="108" t="str">
        <f>IF(OR(ISBLANK(Values!$C$9),ISBLANK(Values!$C$31),ISBLANK(Values!$C$32),ISBLANK(Values!$C$33),ISBLANK(Values!$C$34)),"",TRIM(CONCATENATE(Values!$C$9," ",Values!$C$31,"; ",Values!$C$33," ",Values!$C$32,"; ",(UPPER(Values!$C$34)))))</f>
        <v/>
      </c>
      <c r="AZ47" s="108"/>
      <c r="BA47" s="108"/>
      <c r="BB47" s="108"/>
      <c r="BC47" s="109"/>
      <c r="BE47" s="57" t="s">
        <v>14</v>
      </c>
      <c r="BF47" s="108" t="str">
        <f>IF(OR(ISBLANK(Values!$D$9),ISBLANK(Values!$D$19),ISBLANK(Values!$D$20),ISBLANK(Values!$D$21),ISBLANK(Values!$D$22)),"",TRIM(CONCATENATE(Values!$D$9," ",Values!$D$19,"; ",Values!$D$21," ",Values!$D$20,"; ",(UPPER(Values!$D$22)))))</f>
        <v/>
      </c>
      <c r="BG47" s="108"/>
      <c r="BH47" s="108"/>
      <c r="BI47" s="108"/>
      <c r="BJ47" s="109"/>
      <c r="BL47" s="57" t="s">
        <v>14</v>
      </c>
      <c r="BM47" s="108" t="str">
        <f>IF(OR(ISBLANK(Values!$D$9),ISBLANK(Values!$D$23),ISBLANK(Values!$D$24),ISBLANK(Values!$D$25),ISBLANK(Values!$D$26)),"",TRIM(CONCATENATE(Values!$D$9," ",Values!$D$23,"; ",Values!$D$25," ",Values!$D$24,"; ",(UPPER(Values!$D$26)))))</f>
        <v/>
      </c>
      <c r="BN47" s="108"/>
      <c r="BO47" s="108"/>
      <c r="BP47" s="108"/>
      <c r="BQ47" s="109"/>
      <c r="BS47" s="57" t="s">
        <v>14</v>
      </c>
      <c r="BT47" s="108" t="str">
        <f>IF(OR(ISBLANK(Values!$D$9),ISBLANK(Values!$D$27),ISBLANK(Values!$D$28),ISBLANK(Values!$D$29),ISBLANK(Values!$D$30)),"",TRIM(CONCATENATE(Values!$D$9," ",Values!$D$27,"; ",Values!$D$29," ",Values!$D$28,"; ",(UPPER(Values!$D$30)))))</f>
        <v/>
      </c>
      <c r="BU47" s="108"/>
      <c r="BV47" s="108"/>
      <c r="BW47" s="108"/>
      <c r="BX47" s="109"/>
      <c r="BZ47" s="57" t="s">
        <v>14</v>
      </c>
      <c r="CA47" s="108" t="str">
        <f>IF(OR(ISBLANK(Values!$D$9),ISBLANK(Values!$D$31),ISBLANK(Values!$D$32),ISBLANK(Values!$D$33),ISBLANK(Values!$D$34)),"",TRIM(CONCATENATE(Values!$D$9," ",Values!$D$31,"; ",Values!$D$33," ",Values!$D$32,"; ",(UPPER(Values!$D$34)))))</f>
        <v/>
      </c>
      <c r="CB47" s="108"/>
      <c r="CC47" s="108"/>
      <c r="CD47" s="108"/>
      <c r="CE47" s="109"/>
      <c r="CG47" s="57" t="s">
        <v>14</v>
      </c>
      <c r="CH47" s="108" t="str">
        <f>IF(OR(ISBLANK(Values!$E$9),ISBLANK(Values!$E$19),ISBLANK(Values!$E$20),ISBLANK(Values!$E$21),ISBLANK(Values!$E$22)),"",TRIM(CONCATENATE(Values!$E$9," ",Values!$E$19,"; ",Values!$E$21," ",Values!$E$20,"; ",(UPPER(Values!$E$22)))))</f>
        <v/>
      </c>
      <c r="CI47" s="108"/>
      <c r="CJ47" s="108"/>
      <c r="CK47" s="108"/>
      <c r="CL47" s="109"/>
      <c r="CN47" s="57" t="s">
        <v>14</v>
      </c>
      <c r="CO47" s="108" t="str">
        <f>IF(OR(ISBLANK(Values!$E$9),ISBLANK(Values!$E$23),ISBLANK(Values!$E$24),ISBLANK(Values!$E$25),ISBLANK(Values!$E$26)),"",TRIM(CONCATENATE(Values!$E$9," ",Values!$E$23,"; ",Values!$E$25," ",Values!$E$24,"; ",(UPPER(Values!$E$26)))))</f>
        <v/>
      </c>
      <c r="CP47" s="108"/>
      <c r="CQ47" s="108"/>
      <c r="CR47" s="108"/>
      <c r="CS47" s="109"/>
      <c r="CU47" s="57" t="s">
        <v>14</v>
      </c>
      <c r="CV47" s="108" t="str">
        <f>IF(OR(ISBLANK(Values!$E$9),ISBLANK(Values!$E$27),ISBLANK(Values!$E$28),ISBLANK(Values!$E$29),ISBLANK(Values!$E$30)),"",TRIM(CONCATENATE(Values!$E$9," ",Values!$E$27,"; ",Values!$E$29," ",Values!$E$28,"; ",(UPPER(Values!$E$30)))))</f>
        <v/>
      </c>
      <c r="CW47" s="108"/>
      <c r="CX47" s="108"/>
      <c r="CY47" s="108"/>
      <c r="CZ47" s="109"/>
      <c r="DB47" s="57" t="s">
        <v>14</v>
      </c>
      <c r="DC47" s="108" t="str">
        <f>IF(OR(ISBLANK(Values!$E$9),ISBLANK(Values!$E$31),ISBLANK(Values!$E$32),ISBLANK(Values!$E$33),ISBLANK(Values!$E$34)),"",TRIM(CONCATENATE(Values!$E$9," ",Values!$E$31,"; ",Values!$E$33," ",Values!$E$32,"; ",(UPPER(Values!$E$34)))))</f>
        <v/>
      </c>
      <c r="DD47" s="108"/>
      <c r="DE47" s="108"/>
      <c r="DF47" s="108"/>
      <c r="DG47" s="109"/>
    </row>
    <row r="48" spans="1:111" ht="15" customHeight="1" x14ac:dyDescent="0.2">
      <c r="A48" s="56" t="s">
        <v>15</v>
      </c>
      <c r="B48" s="82" t="str">
        <f ca="1">IF(ISBLANK(Values!$B$10),TEXT(TODAY(),"yyyymmdd"),TEXT(Values!$B$10,"yyyymmdd"))</f>
        <v>20231129</v>
      </c>
      <c r="C48" s="82"/>
      <c r="D48" s="112" t="s">
        <v>16</v>
      </c>
      <c r="E48" s="112"/>
      <c r="F48" s="113"/>
      <c r="H48" s="56" t="s">
        <v>15</v>
      </c>
      <c r="I48" s="82" t="str">
        <f ca="1">IF(ISBLANK(Values!$B$10),TEXT(TODAY(),"yyyymmdd"),TEXT(Values!$B$10,"yyyymmdd"))</f>
        <v>20231129</v>
      </c>
      <c r="J48" s="82"/>
      <c r="K48" s="112" t="s">
        <v>16</v>
      </c>
      <c r="L48" s="112"/>
      <c r="M48" s="113"/>
      <c r="O48" s="56" t="s">
        <v>15</v>
      </c>
      <c r="P48" s="82" t="str">
        <f ca="1">IF(ISBLANK(Values!$B$10),TEXT(TODAY(),"yyyymmdd"),TEXT(Values!$B$10,"yyyymmdd"))</f>
        <v>20231129</v>
      </c>
      <c r="Q48" s="82"/>
      <c r="R48" s="112" t="s">
        <v>16</v>
      </c>
      <c r="S48" s="112"/>
      <c r="T48" s="113"/>
      <c r="V48" s="56" t="s">
        <v>15</v>
      </c>
      <c r="W48" s="82" t="str">
        <f ca="1">IF(ISBLANK(Values!$B$10),TEXT(TODAY(),"yyyymmdd"),TEXT(Values!$B$10,"yyyymmdd"))</f>
        <v>20231129</v>
      </c>
      <c r="X48" s="82"/>
      <c r="Y48" s="112" t="s">
        <v>16</v>
      </c>
      <c r="Z48" s="112"/>
      <c r="AA48" s="113"/>
      <c r="AC48" s="58" t="s">
        <v>15</v>
      </c>
      <c r="AD48" s="82" t="str">
        <f ca="1">IF(ISBLANK(Values!$C$10),TEXT(TODAY(),"yyyymmdd"),TEXT(Values!$C$10,"yyyymmdd"))</f>
        <v>20231129</v>
      </c>
      <c r="AE48" s="82"/>
      <c r="AF48" s="110" t="s">
        <v>16</v>
      </c>
      <c r="AG48" s="110"/>
      <c r="AH48" s="111"/>
      <c r="AJ48" s="58" t="s">
        <v>15</v>
      </c>
      <c r="AK48" s="82" t="str">
        <f ca="1">IF(ISBLANK(Values!$C$10),TEXT(TODAY(),"yyyymmdd"),TEXT(Values!$C$10,"yyyymmdd"))</f>
        <v>20231129</v>
      </c>
      <c r="AL48" s="82"/>
      <c r="AM48" s="110" t="s">
        <v>16</v>
      </c>
      <c r="AN48" s="110"/>
      <c r="AO48" s="111"/>
      <c r="AQ48" s="58" t="s">
        <v>15</v>
      </c>
      <c r="AR48" s="82" t="str">
        <f ca="1">IF(ISBLANK(Values!$C$10),TEXT(TODAY(),"yyyymmdd"),TEXT(Values!$C$10,"yyyymmdd"))</f>
        <v>20231129</v>
      </c>
      <c r="AS48" s="82"/>
      <c r="AT48" s="110" t="s">
        <v>16</v>
      </c>
      <c r="AU48" s="110"/>
      <c r="AV48" s="111"/>
      <c r="AX48" s="58" t="s">
        <v>15</v>
      </c>
      <c r="AY48" s="82" t="str">
        <f ca="1">IF(ISBLANK(Values!$C$10),TEXT(TODAY(),"yyyymmdd"),TEXT(Values!$C$10,"yyyymmdd"))</f>
        <v>20231129</v>
      </c>
      <c r="AZ48" s="82"/>
      <c r="BA48" s="110" t="s">
        <v>16</v>
      </c>
      <c r="BB48" s="110"/>
      <c r="BC48" s="111"/>
      <c r="BE48" s="58" t="s">
        <v>15</v>
      </c>
      <c r="BF48" s="82" t="str">
        <f ca="1">IF(ISBLANK(Values!$D$10),TEXT(TODAY(),"yyyymmdd"),TEXT(Values!$D$10,"yyyymmdd"))</f>
        <v>20231129</v>
      </c>
      <c r="BG48" s="82"/>
      <c r="BH48" s="110" t="s">
        <v>16</v>
      </c>
      <c r="BI48" s="110"/>
      <c r="BJ48" s="111"/>
      <c r="BL48" s="58" t="s">
        <v>15</v>
      </c>
      <c r="BM48" s="82" t="str">
        <f ca="1">IF(ISBLANK(Values!$D$10),TEXT(TODAY(),"yyyymmdd"),TEXT(Values!$D$10,"yyyymmdd"))</f>
        <v>20231129</v>
      </c>
      <c r="BN48" s="82"/>
      <c r="BO48" s="110" t="s">
        <v>16</v>
      </c>
      <c r="BP48" s="110"/>
      <c r="BQ48" s="111"/>
      <c r="BS48" s="58" t="s">
        <v>15</v>
      </c>
      <c r="BT48" s="82" t="str">
        <f ca="1">IF(ISBLANK(Values!$D$10),TEXT(TODAY(),"yyyymmdd"),TEXT(Values!$D$10,"yyyymmdd"))</f>
        <v>20231129</v>
      </c>
      <c r="BU48" s="82"/>
      <c r="BV48" s="110" t="s">
        <v>16</v>
      </c>
      <c r="BW48" s="110"/>
      <c r="BX48" s="111"/>
      <c r="BZ48" s="58" t="s">
        <v>15</v>
      </c>
      <c r="CA48" s="82" t="str">
        <f ca="1">IF(ISBLANK(Values!$D$10),TEXT(TODAY(),"yyyymmdd"),TEXT(Values!$D$10,"yyyymmdd"))</f>
        <v>20231129</v>
      </c>
      <c r="CB48" s="82"/>
      <c r="CC48" s="110" t="s">
        <v>16</v>
      </c>
      <c r="CD48" s="110"/>
      <c r="CE48" s="111"/>
      <c r="CG48" s="58" t="s">
        <v>15</v>
      </c>
      <c r="CH48" s="82" t="str">
        <f ca="1">IF(ISBLANK(Values!$E$10),TEXT(TODAY(),"yyyymmdd"),TEXT(Values!$E$10,"yyyymmdd"))</f>
        <v>20231129</v>
      </c>
      <c r="CI48" s="82"/>
      <c r="CJ48" s="110" t="s">
        <v>16</v>
      </c>
      <c r="CK48" s="110"/>
      <c r="CL48" s="111"/>
      <c r="CN48" s="58" t="s">
        <v>15</v>
      </c>
      <c r="CO48" s="82" t="str">
        <f ca="1">IF(ISBLANK(Values!$E$10),TEXT(TODAY(),"yyyymmdd"),TEXT(Values!$E$10,"yyyymmdd"))</f>
        <v>20231129</v>
      </c>
      <c r="CP48" s="82"/>
      <c r="CQ48" s="110" t="s">
        <v>16</v>
      </c>
      <c r="CR48" s="110"/>
      <c r="CS48" s="111"/>
      <c r="CU48" s="58" t="s">
        <v>15</v>
      </c>
      <c r="CV48" s="82" t="str">
        <f ca="1">IF(ISBLANK(Values!$E$10),TEXT(TODAY(),"yyyymmdd"),TEXT(Values!$E$10,"yyyymmdd"))</f>
        <v>20231129</v>
      </c>
      <c r="CW48" s="82"/>
      <c r="CX48" s="110" t="s">
        <v>16</v>
      </c>
      <c r="CY48" s="110"/>
      <c r="CZ48" s="111"/>
      <c r="DB48" s="58" t="s">
        <v>15</v>
      </c>
      <c r="DC48" s="82" t="str">
        <f ca="1">IF(ISBLANK(Values!$E$10),TEXT(TODAY(),"yyyymmdd"),TEXT(Values!$E$10,"yyyymmdd"))</f>
        <v>20231129</v>
      </c>
      <c r="DD48" s="82"/>
      <c r="DE48" s="110" t="s">
        <v>16</v>
      </c>
      <c r="DF48" s="110"/>
      <c r="DG48" s="111"/>
    </row>
    <row r="49" spans="1:111" ht="9.9499999999999993" customHeight="1" x14ac:dyDescent="0.2">
      <c r="A49" s="106" t="s">
        <v>17</v>
      </c>
      <c r="B49" s="107"/>
      <c r="C49" s="86" t="str">
        <f>IF(ISBLANK(Values!$B$17),"",TRIM(CONCATENATE(Values!$B$17," (",Values!$B$18,")")))</f>
        <v/>
      </c>
      <c r="D49" s="82"/>
      <c r="E49" s="82"/>
      <c r="F49" s="54"/>
      <c r="H49" s="106" t="s">
        <v>17</v>
      </c>
      <c r="I49" s="107"/>
      <c r="J49" s="86" t="str">
        <f>IF(ISBLANK(Values!$B$17),"",TRIM(CONCATENATE(Values!$B$17," (",Values!$B$18,")")))</f>
        <v/>
      </c>
      <c r="K49" s="82"/>
      <c r="L49" s="82"/>
      <c r="M49" s="54"/>
      <c r="O49" s="106" t="s">
        <v>17</v>
      </c>
      <c r="P49" s="107"/>
      <c r="Q49" s="86" t="str">
        <f>IF(ISBLANK(Values!$B$17),"",TRIM(CONCATENATE(Values!$B$17," (",Values!$B$18,")")))</f>
        <v/>
      </c>
      <c r="R49" s="82"/>
      <c r="S49" s="82"/>
      <c r="T49" s="54"/>
      <c r="V49" s="106" t="s">
        <v>17</v>
      </c>
      <c r="W49" s="107"/>
      <c r="X49" s="86" t="str">
        <f>IF(ISBLANK(Values!$B$17),"",TRIM(CONCATENATE(Values!$B$17," (",Values!$B$18,")")))</f>
        <v/>
      </c>
      <c r="Y49" s="82"/>
      <c r="Z49" s="82"/>
      <c r="AA49" s="54"/>
      <c r="AC49" s="84" t="s">
        <v>17</v>
      </c>
      <c r="AD49" s="85"/>
      <c r="AE49" s="86" t="str">
        <f>IF(AND(ISBLANK(Values!$C$17),ISBLANK(Values!$C$18)),"",IF(AND(ISBLANK(Values!$C$17),Values!$C$18&lt;&gt;""),Values!$C$18,IF(AND(Values!$C$17&lt;&gt;"",ISBLANK(Values!$C$18)),Values!$C$17,TRIM(CONCATENATE(Values!$C$17," (",Values!$C$18,")")))))</f>
        <v/>
      </c>
      <c r="AF49" s="82"/>
      <c r="AG49" s="82"/>
      <c r="AH49" s="59"/>
      <c r="AJ49" s="84" t="s">
        <v>17</v>
      </c>
      <c r="AK49" s="85"/>
      <c r="AL49" s="86" t="str">
        <f>IF(AND(ISBLANK(Values!$C$17),ISBLANK(Values!$C$18)),"",IF(AND(ISBLANK(Values!$C$17),Values!$C$18&lt;&gt;""),Values!$C$18,IF(AND(Values!$C$17&lt;&gt;"",ISBLANK(Values!$C$18)),Values!$C$17,TRIM(CONCATENATE(Values!$C$17," (",Values!$C$18,")")))))</f>
        <v/>
      </c>
      <c r="AM49" s="82"/>
      <c r="AN49" s="82"/>
      <c r="AO49" s="59"/>
      <c r="AQ49" s="84" t="s">
        <v>17</v>
      </c>
      <c r="AR49" s="85"/>
      <c r="AS49" s="86" t="str">
        <f>IF(AND(ISBLANK(Values!$C$17),ISBLANK(Values!$C$18)),"",IF(AND(ISBLANK(Values!$C$17),Values!$C$18&lt;&gt;""),Values!$C$18,IF(AND(Values!$C$17&lt;&gt;"",ISBLANK(Values!$C$18)),Values!$C$17,TRIM(CONCATENATE(Values!$C$17," (",Values!$C$18,")")))))</f>
        <v/>
      </c>
      <c r="AT49" s="82"/>
      <c r="AU49" s="82"/>
      <c r="AV49" s="59"/>
      <c r="AX49" s="84" t="s">
        <v>17</v>
      </c>
      <c r="AY49" s="85"/>
      <c r="AZ49" s="86" t="str">
        <f>IF(AND(ISBLANK(Values!$C$17),ISBLANK(Values!$C$18)),"",IF(AND(ISBLANK(Values!$C$17),Values!$C$18&lt;&gt;""),Values!$C$18,IF(AND(Values!$C$17&lt;&gt;"",ISBLANK(Values!$C$18)),Values!$C$17,TRIM(CONCATENATE(Values!$C$17," (",Values!$C$18,")")))))</f>
        <v/>
      </c>
      <c r="BA49" s="82"/>
      <c r="BB49" s="82"/>
      <c r="BC49" s="59"/>
      <c r="BE49" s="84" t="s">
        <v>17</v>
      </c>
      <c r="BF49" s="85"/>
      <c r="BG49" s="86" t="str">
        <f>IF(AND(ISBLANK(Values!$D$17),ISBLANK(Values!$D$18)),"",IF(AND(ISBLANK(Values!$D$17),Values!$D$18&lt;&gt;""),Values!$D$18,IF(AND(Values!$D$17&lt;&gt;"",ISBLANK(Values!$D$18)),Values!$D$17,TRIM(CONCATENATE(Values!$D$17," (",Values!$D$18,")")))))</f>
        <v/>
      </c>
      <c r="BH49" s="82"/>
      <c r="BI49" s="82"/>
      <c r="BJ49" s="59"/>
      <c r="BL49" s="84" t="s">
        <v>17</v>
      </c>
      <c r="BM49" s="85"/>
      <c r="BN49" s="86" t="str">
        <f>IF(AND(ISBLANK(Values!$D$17),ISBLANK(Values!$D$18)),"",IF(AND(ISBLANK(Values!$D$17),Values!$D$18&lt;&gt;""),Values!$D$18,IF(AND(Values!$D$17&lt;&gt;"",ISBLANK(Values!$D$18)),Values!$D$17,TRIM(CONCATENATE(Values!$D$17," (",Values!$D$18,")")))))</f>
        <v/>
      </c>
      <c r="BO49" s="82"/>
      <c r="BP49" s="82"/>
      <c r="BQ49" s="59"/>
      <c r="BS49" s="84" t="s">
        <v>17</v>
      </c>
      <c r="BT49" s="85"/>
      <c r="BU49" s="86" t="str">
        <f>IF(AND(ISBLANK(Values!$D$17),ISBLANK(Values!$D$18)),"",IF(AND(ISBLANK(Values!$D$17),Values!$D$18&lt;&gt;""),Values!$D$18,IF(AND(Values!$D$17&lt;&gt;"",ISBLANK(Values!$D$18)),Values!$D$17,TRIM(CONCATENATE(Values!$D$17," (",Values!$D$18,")")))))</f>
        <v/>
      </c>
      <c r="BV49" s="82"/>
      <c r="BW49" s="82"/>
      <c r="BX49" s="59"/>
      <c r="BZ49" s="84" t="s">
        <v>17</v>
      </c>
      <c r="CA49" s="85"/>
      <c r="CB49" s="86" t="str">
        <f>IF(AND(ISBLANK(Values!$D$17),ISBLANK(Values!$D$18)),"",IF(AND(ISBLANK(Values!$D$17),Values!$D$18&lt;&gt;""),Values!$D$18,IF(AND(Values!$D$17&lt;&gt;"",ISBLANK(Values!$D$18)),Values!$D$17,TRIM(CONCATENATE(Values!$D$17," (",Values!$D$18,")")))))</f>
        <v/>
      </c>
      <c r="CC49" s="82"/>
      <c r="CD49" s="82"/>
      <c r="CE49" s="59"/>
      <c r="CG49" s="84" t="s">
        <v>17</v>
      </c>
      <c r="CH49" s="85"/>
      <c r="CI49" s="86" t="str">
        <f>IF(AND(ISBLANK(Values!$E$17),ISBLANK(Values!$E$18)),"",IF(AND(ISBLANK(Values!$E$17),Values!$E$18&lt;&gt;""),Values!$E$18,IF(AND(Values!$E$17&lt;&gt;"",ISBLANK(Values!$E$18)),Values!$E$17,TRIM(CONCATENATE(Values!$E$17," (",Values!$E$18,")")))))</f>
        <v/>
      </c>
      <c r="CJ49" s="82"/>
      <c r="CK49" s="82"/>
      <c r="CL49" s="59"/>
      <c r="CN49" s="84" t="s">
        <v>17</v>
      </c>
      <c r="CO49" s="85"/>
      <c r="CP49" s="86" t="str">
        <f>IF(AND(ISBLANK(Values!$E$17),ISBLANK(Values!$E$18)),"",IF(AND(ISBLANK(Values!$E$17),Values!$E$18&lt;&gt;""),Values!$E$18,IF(AND(Values!$E$17&lt;&gt;"",ISBLANK(Values!$E$18)),Values!$E$17,TRIM(CONCATENATE(Values!$E$17," (",Values!$E$18,")")))))</f>
        <v/>
      </c>
      <c r="CQ49" s="82"/>
      <c r="CR49" s="82"/>
      <c r="CS49" s="59"/>
      <c r="CU49" s="84" t="s">
        <v>17</v>
      </c>
      <c r="CV49" s="85"/>
      <c r="CW49" s="86" t="str">
        <f>IF(AND(ISBLANK(Values!$E$17),ISBLANK(Values!$E$18)),"",IF(AND(ISBLANK(Values!$E$17),Values!$E$18&lt;&gt;""),Values!$E$18,IF(AND(Values!$E$17&lt;&gt;"",ISBLANK(Values!$E$18)),Values!$E$17,TRIM(CONCATENATE(Values!$E$17," (",Values!$E$18,")")))))</f>
        <v/>
      </c>
      <c r="CX49" s="82"/>
      <c r="CY49" s="82"/>
      <c r="CZ49" s="59"/>
      <c r="DB49" s="84" t="s">
        <v>17</v>
      </c>
      <c r="DC49" s="85"/>
      <c r="DD49" s="86" t="str">
        <f>IF(AND(ISBLANK(Values!$E$17),ISBLANK(Values!$E$18)),"",IF(AND(ISBLANK(Values!$E$17),Values!$E$18&lt;&gt;""),Values!$E$18,IF(AND(Values!$E$17&lt;&gt;"",ISBLANK(Values!$E$18)),Values!$E$17,TRIM(CONCATENATE(Values!$E$17," (",Values!$E$18,")")))))</f>
        <v/>
      </c>
      <c r="DE49" s="82"/>
      <c r="DF49" s="82"/>
      <c r="DG49" s="59"/>
    </row>
    <row r="50" spans="1:111" ht="9.9499999999999993" customHeight="1" x14ac:dyDescent="0.2">
      <c r="A50" s="106" t="s">
        <v>18</v>
      </c>
      <c r="B50" s="107"/>
      <c r="C50" s="82" t="str">
        <f>IF(ISBLANK(Values!$B$11),"",IF(Values!$B$11="Multiple",Values!$B$11,TRIM(CONCATENATE(Values!$B$11,"; ",TEXT(Values!$B$12,"mm/dd/yyyy")))))</f>
        <v/>
      </c>
      <c r="D50" s="82"/>
      <c r="E50" s="82"/>
      <c r="F50" s="83"/>
      <c r="H50" s="106" t="s">
        <v>18</v>
      </c>
      <c r="I50" s="107"/>
      <c r="J50" s="82" t="str">
        <f>IF(ISBLANK(Values!$B$11),"",IF(Values!$B$11="Multiple",Values!$B$11,TRIM(CONCATENATE(Values!$B$11,"; ",TEXT(Values!$B$12,"mm/dd/yyyy")))))</f>
        <v/>
      </c>
      <c r="K50" s="82"/>
      <c r="L50" s="82"/>
      <c r="M50" s="83"/>
      <c r="O50" s="106" t="s">
        <v>18</v>
      </c>
      <c r="P50" s="107"/>
      <c r="Q50" s="82" t="str">
        <f>IF(ISBLANK(Values!$B$11),"",IF(Values!$B$11="Multiple",Values!$B$11,TRIM(CONCATENATE(Values!$B$11,"; ",TEXT(Values!$B$12,"mm/dd/yyyy")))))</f>
        <v/>
      </c>
      <c r="R50" s="82"/>
      <c r="S50" s="82"/>
      <c r="T50" s="83"/>
      <c r="V50" s="106" t="s">
        <v>18</v>
      </c>
      <c r="W50" s="107"/>
      <c r="X50" s="82" t="str">
        <f>IF(ISBLANK(Values!$B$11),"",IF(Values!$B$11="Multiple",Values!$B$11,TRIM(CONCATENATE(Values!$B$11,"; ",TEXT(Values!$B$12,"mm/dd/yyyy")))))</f>
        <v/>
      </c>
      <c r="Y50" s="82"/>
      <c r="Z50" s="82"/>
      <c r="AA50" s="83"/>
      <c r="AC50" s="84" t="s">
        <v>18</v>
      </c>
      <c r="AD50" s="85"/>
      <c r="AE50" s="82" t="str">
        <f>IF(ISBLANK(Values!$C$11),"",IF(Values!$C$11="Multiple",Values!$C$11,TRIM(CONCATENATE(Values!$C$11,"; ",TEXT(Values!$C$12,"mm/dd/yyyy")))))</f>
        <v/>
      </c>
      <c r="AF50" s="82"/>
      <c r="AG50" s="82"/>
      <c r="AH50" s="83"/>
      <c r="AJ50" s="84" t="s">
        <v>18</v>
      </c>
      <c r="AK50" s="85"/>
      <c r="AL50" s="82" t="str">
        <f>IF(ISBLANK(Values!$C$11),"",IF(Values!$C$11="Multiple",Values!$C$11,TRIM(CONCATENATE(Values!$C$11,"; ",TEXT(Values!$C$12,"mm/dd/yyyy")))))</f>
        <v/>
      </c>
      <c r="AM50" s="82"/>
      <c r="AN50" s="82"/>
      <c r="AO50" s="83"/>
      <c r="AQ50" s="84" t="s">
        <v>18</v>
      </c>
      <c r="AR50" s="85"/>
      <c r="AS50" s="82" t="str">
        <f>IF(ISBLANK(Values!$C$11),"",IF(Values!$C$11="Multiple",Values!$C$11,TRIM(CONCATENATE(Values!$C$11,"; ",TEXT(Values!$C$12,"mm/dd/yyyy")))))</f>
        <v/>
      </c>
      <c r="AT50" s="82"/>
      <c r="AU50" s="82"/>
      <c r="AV50" s="83"/>
      <c r="AX50" s="84" t="s">
        <v>18</v>
      </c>
      <c r="AY50" s="85"/>
      <c r="AZ50" s="82" t="str">
        <f>IF(ISBLANK(Values!$C$11),"",IF(Values!$C$11="Multiple",Values!$C$11,TRIM(CONCATENATE(Values!$C$11,"; ",TEXT(Values!$C$12,"mm/dd/yyyy")))))</f>
        <v/>
      </c>
      <c r="BA50" s="82"/>
      <c r="BB50" s="82"/>
      <c r="BC50" s="83"/>
      <c r="BE50" s="84" t="s">
        <v>18</v>
      </c>
      <c r="BF50" s="85"/>
      <c r="BG50" s="82" t="str">
        <f>IF(ISBLANK(Values!$D$11),"",IF(Values!$D$11="Multiple",Values!$D$11,TRIM(CONCATENATE(Values!$D$11,"; ",TEXT(Values!$D$12,"mm/dd/yyyy")))))</f>
        <v/>
      </c>
      <c r="BH50" s="82"/>
      <c r="BI50" s="82"/>
      <c r="BJ50" s="83"/>
      <c r="BL50" s="84" t="s">
        <v>18</v>
      </c>
      <c r="BM50" s="85"/>
      <c r="BN50" s="82" t="str">
        <f>IF(ISBLANK(Values!$D$11),"",IF(Values!$D$11="Multiple",Values!$D$11,TRIM(CONCATENATE(Values!$D$11,"; ",TEXT(Values!$D$12,"mm/dd/yyyy")))))</f>
        <v/>
      </c>
      <c r="BO50" s="82"/>
      <c r="BP50" s="82"/>
      <c r="BQ50" s="83"/>
      <c r="BS50" s="84" t="s">
        <v>18</v>
      </c>
      <c r="BT50" s="85"/>
      <c r="BU50" s="82" t="str">
        <f>IF(ISBLANK(Values!$D$11),"",IF(Values!$D$11="Multiple",Values!$D$11,TRIM(CONCATENATE(Values!$D$11,"; ",TEXT(Values!$D$12,"mm/dd/yyyy")))))</f>
        <v/>
      </c>
      <c r="BV50" s="82"/>
      <c r="BW50" s="82"/>
      <c r="BX50" s="83"/>
      <c r="BZ50" s="84" t="s">
        <v>18</v>
      </c>
      <c r="CA50" s="85"/>
      <c r="CB50" s="82" t="str">
        <f>IF(ISBLANK(Values!$D$11),"",IF(Values!$D$11="Multiple",Values!$D$11,TRIM(CONCATENATE(Values!$D$11,"; ",TEXT(Values!$D$12,"mm/dd/yyyy")))))</f>
        <v/>
      </c>
      <c r="CC50" s="82"/>
      <c r="CD50" s="82"/>
      <c r="CE50" s="83"/>
      <c r="CG50" s="84" t="s">
        <v>18</v>
      </c>
      <c r="CH50" s="85"/>
      <c r="CI50" s="82" t="str">
        <f>IF(ISBLANK(Values!$E$11),"",IF(Values!$E$11="Multiple",Values!$E$11,TRIM(CONCATENATE(Values!$E$11,"; ",TEXT(Values!$E$12,"mm/dd/yyyy")))))</f>
        <v/>
      </c>
      <c r="CJ50" s="82"/>
      <c r="CK50" s="82"/>
      <c r="CL50" s="83"/>
      <c r="CN50" s="84" t="s">
        <v>18</v>
      </c>
      <c r="CO50" s="85"/>
      <c r="CP50" s="82" t="str">
        <f>IF(ISBLANK(Values!$E$11),"",IF(Values!$E$11="Multiple",Values!$E$11,TRIM(CONCATENATE(Values!$E$11,"; ",TEXT(Values!$E$12,"mm/dd/yyyy")))))</f>
        <v/>
      </c>
      <c r="CQ50" s="82"/>
      <c r="CR50" s="82"/>
      <c r="CS50" s="83"/>
      <c r="CU50" s="84" t="s">
        <v>18</v>
      </c>
      <c r="CV50" s="85"/>
      <c r="CW50" s="82" t="str">
        <f>IF(ISBLANK(Values!$E$11),"",IF(Values!$E$11="Multiple",Values!$E$11,TRIM(CONCATENATE(Values!$E$11,"; ",TEXT(Values!$E$12,"mm/dd/yyyy")))))</f>
        <v/>
      </c>
      <c r="CX50" s="82"/>
      <c r="CY50" s="82"/>
      <c r="CZ50" s="83"/>
      <c r="DB50" s="84" t="s">
        <v>18</v>
      </c>
      <c r="DC50" s="85"/>
      <c r="DD50" s="82" t="str">
        <f>IF(ISBLANK(Values!$E$11),"",IF(Values!$E$11="Multiple",Values!$E$11,TRIM(CONCATENATE(Values!$E$11,"; ",TEXT(Values!$E$12,"mm/dd/yyyy")))))</f>
        <v/>
      </c>
      <c r="DE50" s="82"/>
      <c r="DF50" s="82"/>
      <c r="DG50" s="83"/>
    </row>
    <row r="51" spans="1:111" ht="9.9499999999999993" customHeight="1" thickBot="1" x14ac:dyDescent="0.25">
      <c r="A51" s="84" t="s">
        <v>19</v>
      </c>
      <c r="B51" s="85"/>
      <c r="C51" s="86" t="str">
        <f ca="1">IF(ISBLANK(Values!$B$13),"",IF(ISBLANK(Values!$B$10),TEXT(DATE(YEAR(TODAY())+Values!$B$13,MONTH(TODAY()),DAY(TODAY())),"yyyymmdd"),TEXT(DATE(YEAR(Values!$B$10)+Values!$B$13,MONTH(Values!$B$10),DAY(Values!$B$10)),"yyyymmdd")))</f>
        <v/>
      </c>
      <c r="D51" s="86"/>
      <c r="E51" s="173" t="s">
        <v>154</v>
      </c>
      <c r="F51" s="174" t="str">
        <f>IF(ISBLANK(Values!$B$16),"",TRIM(CONCATENATE(Values!$B$16)))</f>
        <v/>
      </c>
      <c r="H51" s="84" t="s">
        <v>19</v>
      </c>
      <c r="I51" s="85"/>
      <c r="J51" s="86" t="str">
        <f ca="1">IF(ISBLANK(Values!$B$13),"",IF(ISBLANK(Values!$B$10),TEXT(DATE(YEAR(TODAY())+Values!$B$13,MONTH(TODAY()),DAY(TODAY())),"yyyymmdd"),TEXT(DATE(YEAR(Values!$B$10)+Values!$B$13,MONTH(Values!$B$10),DAY(Values!$B$10)),"yyyymmdd")))</f>
        <v/>
      </c>
      <c r="K51" s="86"/>
      <c r="L51" s="173" t="s">
        <v>154</v>
      </c>
      <c r="M51" s="174" t="str">
        <f>IF(ISBLANK(Values!$B$16),"",TRIM(CONCATENATE(Values!$B$16)))</f>
        <v/>
      </c>
      <c r="O51" s="84" t="s">
        <v>19</v>
      </c>
      <c r="P51" s="85"/>
      <c r="Q51" s="86" t="str">
        <f ca="1">IF(ISBLANK(Values!$B$13),"",IF(ISBLANK(Values!$B$10),TEXT(DATE(YEAR(TODAY())+Values!$B$13,MONTH(TODAY()),DAY(TODAY())),"yyyymmdd"),TEXT(DATE(YEAR(Values!$B$10)+Values!$B$13,MONTH(Values!$B$10),DAY(Values!$B$10)),"yyyymmdd")))</f>
        <v/>
      </c>
      <c r="R51" s="86"/>
      <c r="S51" s="173" t="s">
        <v>154</v>
      </c>
      <c r="T51" s="174" t="str">
        <f>IF(ISBLANK(Values!$B$16),"",TRIM(CONCATENATE(Values!$B$16)))</f>
        <v/>
      </c>
      <c r="V51" s="84" t="s">
        <v>19</v>
      </c>
      <c r="W51" s="85"/>
      <c r="X51" s="86" t="str">
        <f ca="1">IF(ISBLANK(Values!$B$13),"",IF(ISBLANK(Values!$B$10),TEXT(DATE(YEAR(TODAY())+Values!$B$13,MONTH(TODAY()),DAY(TODAY())),"yyyymmdd"),TEXT(DATE(YEAR(Values!$B$10)+Values!$B$13,MONTH(Values!$B$10),DAY(Values!$B$10)),"yyyymmdd")))</f>
        <v/>
      </c>
      <c r="Y51" s="86"/>
      <c r="Z51" s="173" t="s">
        <v>154</v>
      </c>
      <c r="AA51" s="174" t="str">
        <f>IF(ISBLANK(Values!$B$16),"",TRIM(CONCATENATE(Values!$B$16)))</f>
        <v/>
      </c>
      <c r="AC51" s="84" t="s">
        <v>19</v>
      </c>
      <c r="AD51" s="85"/>
      <c r="AE51" s="86" t="str">
        <f ca="1">IF(ISBLANK(Values!$C$13),"",IF(ISBLANK(Values!$C$10),TEXT(DATE(YEAR(TODAY())+Values!$C$13,MONTH(TODAY()),DAY(TODAY())),"yyyymmdd"),TEXT(DATE(YEAR(Values!$C$10)+Values!$C$13,MONTH(Values!$C$10),DAY(Values!$C$10)),"yyyymmdd")))</f>
        <v/>
      </c>
      <c r="AF51" s="86"/>
      <c r="AG51" s="173" t="s">
        <v>154</v>
      </c>
      <c r="AH51" s="174" t="str">
        <f>IF(ISBLANK(Values!$C$16),"",TRIM(CONCATENATE(Values!$C$16)))</f>
        <v/>
      </c>
      <c r="AJ51" s="84" t="s">
        <v>19</v>
      </c>
      <c r="AK51" s="85"/>
      <c r="AL51" s="86" t="str">
        <f ca="1">IF(ISBLANK(Values!$C$13),"",IF(ISBLANK(Values!$C$10),TEXT(DATE(YEAR(TODAY())+Values!$C$13,MONTH(TODAY()),DAY(TODAY())),"yyyymmdd"),TEXT(DATE(YEAR(Values!$C$10)+Values!$C$13,MONTH(Values!$C$10),DAY(Values!$C$10)),"yyyymmdd")))</f>
        <v/>
      </c>
      <c r="AM51" s="86"/>
      <c r="AN51" s="173" t="s">
        <v>154</v>
      </c>
      <c r="AO51" s="174" t="str">
        <f>IF(ISBLANK(Values!$C$16),"",TRIM(CONCATENATE(Values!$C$16)))</f>
        <v/>
      </c>
      <c r="AQ51" s="84" t="s">
        <v>19</v>
      </c>
      <c r="AR51" s="85"/>
      <c r="AS51" s="86" t="str">
        <f ca="1">IF(ISBLANK(Values!$C$13),"",IF(ISBLANK(Values!$C$10),TEXT(DATE(YEAR(TODAY())+Values!$C$13,MONTH(TODAY()),DAY(TODAY())),"yyyymmdd"),TEXT(DATE(YEAR(Values!$C$10)+Values!$C$13,MONTH(Values!$C$10),DAY(Values!$C$10)),"yyyymmdd")))</f>
        <v/>
      </c>
      <c r="AT51" s="86"/>
      <c r="AU51" s="173" t="s">
        <v>154</v>
      </c>
      <c r="AV51" s="174" t="str">
        <f>IF(ISBLANK(Values!$C$16),"",TRIM(CONCATENATE(Values!$C$16)))</f>
        <v/>
      </c>
      <c r="AX51" s="84" t="s">
        <v>19</v>
      </c>
      <c r="AY51" s="85"/>
      <c r="AZ51" s="86" t="str">
        <f ca="1">IF(ISBLANK(Values!$C$13),"",IF(ISBLANK(Values!$C$10),TEXT(DATE(YEAR(TODAY())+Values!$C$13,MONTH(TODAY()),DAY(TODAY())),"yyyymmdd"),TEXT(DATE(YEAR(Values!$C$10)+Values!$C$13,MONTH(Values!$C$10),DAY(Values!$C$10)),"yyyymmdd")))</f>
        <v/>
      </c>
      <c r="BA51" s="86"/>
      <c r="BB51" s="173" t="s">
        <v>154</v>
      </c>
      <c r="BC51" s="174" t="str">
        <f>IF(ISBLANK(Values!$C$16),"",TRIM(CONCATENATE(Values!$C$16)))</f>
        <v/>
      </c>
      <c r="BE51" s="84" t="s">
        <v>19</v>
      </c>
      <c r="BF51" s="85"/>
      <c r="BG51" s="86" t="str">
        <f ca="1">IF(ISBLANK(Values!$D$13),"",IF(ISBLANK(Values!$D$10),TEXT(DATE(YEAR(TODAY())+Values!$D$13,MONTH(TODAY()),DAY(TODAY())),"yyyymmdd"),TEXT(DATE(YEAR(Values!$D$10)+Values!$D$13,MONTH(Values!$D$10),DAY(Values!$D$10)),"yyyymmdd")))</f>
        <v/>
      </c>
      <c r="BH51" s="86"/>
      <c r="BI51" s="173" t="s">
        <v>154</v>
      </c>
      <c r="BJ51" s="174" t="str">
        <f>IF(ISBLANK(Values!$D$16),"",TRIM(CONCATENATE(Values!$D$16)))</f>
        <v/>
      </c>
      <c r="BL51" s="84" t="s">
        <v>19</v>
      </c>
      <c r="BM51" s="85"/>
      <c r="BN51" s="86" t="str">
        <f ca="1">IF(ISBLANK(Values!$D$13),"",IF(ISBLANK(Values!$D$10),TEXT(DATE(YEAR(TODAY())+Values!$D$13,MONTH(TODAY()),DAY(TODAY())),"yyyymmdd"),TEXT(DATE(YEAR(Values!$D$10)+Values!$D$13,MONTH(Values!$D$10),DAY(Values!$D$10)),"yyyymmdd")))</f>
        <v/>
      </c>
      <c r="BO51" s="86"/>
      <c r="BP51" s="173" t="s">
        <v>154</v>
      </c>
      <c r="BQ51" s="174" t="str">
        <f>IF(ISBLANK(Values!$D$16),"",TRIM(CONCATENATE(Values!$D$16)))</f>
        <v/>
      </c>
      <c r="BS51" s="84" t="s">
        <v>19</v>
      </c>
      <c r="BT51" s="85"/>
      <c r="BU51" s="86" t="str">
        <f ca="1">IF(ISBLANK(Values!$D$13),"",IF(ISBLANK(Values!$D$10),TEXT(DATE(YEAR(TODAY())+Values!$D$13,MONTH(TODAY()),DAY(TODAY())),"yyyymmdd"),TEXT(DATE(YEAR(Values!$D$10)+Values!$D$13,MONTH(Values!$D$10),DAY(Values!$D$10)),"yyyymmdd")))</f>
        <v/>
      </c>
      <c r="BV51" s="86"/>
      <c r="BW51" s="173" t="s">
        <v>154</v>
      </c>
      <c r="BX51" s="174" t="str">
        <f>IF(ISBLANK(Values!$D$16),"",TRIM(CONCATENATE(Values!$D$16)))</f>
        <v/>
      </c>
      <c r="BZ51" s="84" t="s">
        <v>19</v>
      </c>
      <c r="CA51" s="85"/>
      <c r="CB51" s="86" t="str">
        <f ca="1">IF(ISBLANK(Values!$D$13),"",IF(ISBLANK(Values!$D$10),TEXT(DATE(YEAR(TODAY())+Values!$D$13,MONTH(TODAY()),DAY(TODAY())),"yyyymmdd"),TEXT(DATE(YEAR(Values!$D$10)+Values!$D$13,MONTH(Values!$D$10),DAY(Values!$D$10)),"yyyymmdd")))</f>
        <v/>
      </c>
      <c r="CC51" s="86"/>
      <c r="CD51" s="173" t="s">
        <v>154</v>
      </c>
      <c r="CE51" s="174" t="str">
        <f>IF(ISBLANK(Values!$D$16),"",TRIM(CONCATENATE(Values!$D$16)))</f>
        <v/>
      </c>
      <c r="CG51" s="84" t="s">
        <v>19</v>
      </c>
      <c r="CH51" s="85"/>
      <c r="CI51" s="86" t="str">
        <f ca="1">IF(ISBLANK(Values!$E$13),"",IF(ISBLANK(Values!$E$10),TEXT(DATE(YEAR(TODAY())+Values!$E$13,MONTH(TODAY()),DAY(TODAY())),"yyyymmdd"),TEXT(DATE(YEAR(Values!$E$10)+Values!$E$13,MONTH(Values!$E$10),DAY(Values!$E$10)),"yyyymmdd")))</f>
        <v/>
      </c>
      <c r="CJ51" s="86"/>
      <c r="CK51" s="173" t="s">
        <v>154</v>
      </c>
      <c r="CL51" s="174" t="str">
        <f>IF(ISBLANK(Values!$E$16),"",TRIM(CONCATENATE(Values!$E$16)))</f>
        <v/>
      </c>
      <c r="CN51" s="84" t="s">
        <v>19</v>
      </c>
      <c r="CO51" s="85"/>
      <c r="CP51" s="86" t="str">
        <f ca="1">IF(ISBLANK(Values!$E$13),"",IF(ISBLANK(Values!$E$10),TEXT(DATE(YEAR(TODAY())+Values!$E$13,MONTH(TODAY()),DAY(TODAY())),"yyyymmdd"),TEXT(DATE(YEAR(Values!$E$10)+Values!$E$13,MONTH(Values!$E$10),DAY(Values!$E$10)),"yyyymmdd")))</f>
        <v/>
      </c>
      <c r="CQ51" s="86"/>
      <c r="CR51" s="173" t="s">
        <v>154</v>
      </c>
      <c r="CS51" s="174" t="str">
        <f>IF(ISBLANK(Values!$E$16),"",TRIM(CONCATENATE(Values!$E$16)))</f>
        <v/>
      </c>
      <c r="CU51" s="84" t="s">
        <v>19</v>
      </c>
      <c r="CV51" s="85"/>
      <c r="CW51" s="86" t="str">
        <f ca="1">IF(ISBLANK(Values!$E$13),"",IF(ISBLANK(Values!$E$10),TEXT(DATE(YEAR(TODAY())+Values!$E$13,MONTH(TODAY()),DAY(TODAY())),"yyyymmdd"),TEXT(DATE(YEAR(Values!$E$10)+Values!$E$13,MONTH(Values!$E$10),DAY(Values!$E$10)),"yyyymmdd")))</f>
        <v/>
      </c>
      <c r="CX51" s="86"/>
      <c r="CY51" s="173" t="s">
        <v>154</v>
      </c>
      <c r="CZ51" s="174" t="str">
        <f>IF(ISBLANK(Values!$E$16),"",TRIM(CONCATENATE(Values!$E$16)))</f>
        <v/>
      </c>
      <c r="DB51" s="84" t="s">
        <v>19</v>
      </c>
      <c r="DC51" s="85"/>
      <c r="DD51" s="86" t="str">
        <f ca="1">IF(ISBLANK(Values!$E$13),"",IF(ISBLANK(Values!$E$10),TEXT(DATE(YEAR(TODAY())+Values!$E$13,MONTH(TODAY()),DAY(TODAY())),"yyyymmdd"),TEXT(DATE(YEAR(Values!$E$10)+Values!$E$13,MONTH(Values!$E$10),DAY(Values!$E$10)),"yyyymmdd")))</f>
        <v/>
      </c>
      <c r="DE51" s="86"/>
      <c r="DF51" s="173" t="s">
        <v>154</v>
      </c>
      <c r="DG51" s="174" t="str">
        <f>IF(ISBLANK(Values!$E$16),"",TRIM(CONCATENATE(Values!$E$16)))</f>
        <v/>
      </c>
    </row>
    <row r="52" spans="1:111" s="23" customFormat="1" ht="11.1" customHeight="1" thickBot="1" x14ac:dyDescent="0.25">
      <c r="A52" s="103" t="s">
        <v>20</v>
      </c>
      <c r="B52" s="104"/>
      <c r="C52" s="104"/>
      <c r="D52" s="104"/>
      <c r="E52" s="104"/>
      <c r="F52" s="105"/>
      <c r="H52" s="103" t="s">
        <v>20</v>
      </c>
      <c r="I52" s="104"/>
      <c r="J52" s="104"/>
      <c r="K52" s="104"/>
      <c r="L52" s="104"/>
      <c r="M52" s="105"/>
      <c r="O52" s="103" t="s">
        <v>20</v>
      </c>
      <c r="P52" s="104"/>
      <c r="Q52" s="104"/>
      <c r="R52" s="104"/>
      <c r="S52" s="104"/>
      <c r="T52" s="105"/>
      <c r="V52" s="103" t="s">
        <v>20</v>
      </c>
      <c r="W52" s="104"/>
      <c r="X52" s="104"/>
      <c r="Y52" s="104"/>
      <c r="Z52" s="104"/>
      <c r="AA52" s="105"/>
      <c r="AC52" s="103" t="s">
        <v>20</v>
      </c>
      <c r="AD52" s="104"/>
      <c r="AE52" s="104"/>
      <c r="AF52" s="104"/>
      <c r="AG52" s="104"/>
      <c r="AH52" s="105"/>
      <c r="AJ52" s="103" t="s">
        <v>20</v>
      </c>
      <c r="AK52" s="104"/>
      <c r="AL52" s="104"/>
      <c r="AM52" s="104"/>
      <c r="AN52" s="104"/>
      <c r="AO52" s="105"/>
      <c r="AQ52" s="103" t="s">
        <v>20</v>
      </c>
      <c r="AR52" s="104"/>
      <c r="AS52" s="104"/>
      <c r="AT52" s="104"/>
      <c r="AU52" s="104"/>
      <c r="AV52" s="105"/>
      <c r="AX52" s="103" t="s">
        <v>20</v>
      </c>
      <c r="AY52" s="104"/>
      <c r="AZ52" s="104"/>
      <c r="BA52" s="104"/>
      <c r="BB52" s="104"/>
      <c r="BC52" s="105"/>
      <c r="BE52" s="103" t="s">
        <v>20</v>
      </c>
      <c r="BF52" s="104"/>
      <c r="BG52" s="104"/>
      <c r="BH52" s="104"/>
      <c r="BI52" s="104"/>
      <c r="BJ52" s="105"/>
      <c r="BL52" s="103" t="s">
        <v>20</v>
      </c>
      <c r="BM52" s="104"/>
      <c r="BN52" s="104"/>
      <c r="BO52" s="104"/>
      <c r="BP52" s="104"/>
      <c r="BQ52" s="105"/>
      <c r="BS52" s="103" t="s">
        <v>20</v>
      </c>
      <c r="BT52" s="104"/>
      <c r="BU52" s="104"/>
      <c r="BV52" s="104"/>
      <c r="BW52" s="104"/>
      <c r="BX52" s="105"/>
      <c r="BZ52" s="103" t="s">
        <v>20</v>
      </c>
      <c r="CA52" s="104"/>
      <c r="CB52" s="104"/>
      <c r="CC52" s="104"/>
      <c r="CD52" s="104"/>
      <c r="CE52" s="105"/>
      <c r="CG52" s="103" t="s">
        <v>20</v>
      </c>
      <c r="CH52" s="104"/>
      <c r="CI52" s="104"/>
      <c r="CJ52" s="104"/>
      <c r="CK52" s="104"/>
      <c r="CL52" s="105"/>
      <c r="CN52" s="103" t="s">
        <v>20</v>
      </c>
      <c r="CO52" s="104"/>
      <c r="CP52" s="104"/>
      <c r="CQ52" s="104"/>
      <c r="CR52" s="104"/>
      <c r="CS52" s="105"/>
      <c r="CU52" s="103" t="s">
        <v>20</v>
      </c>
      <c r="CV52" s="104"/>
      <c r="CW52" s="104"/>
      <c r="CX52" s="104"/>
      <c r="CY52" s="104"/>
      <c r="CZ52" s="105"/>
      <c r="DB52" s="103" t="s">
        <v>20</v>
      </c>
      <c r="DC52" s="104"/>
      <c r="DD52" s="104"/>
      <c r="DE52" s="104"/>
      <c r="DF52" s="104"/>
      <c r="DG52" s="105"/>
    </row>
  </sheetData>
  <sheetProtection sheet="1" objects="1" scenarios="1" selectLockedCells="1" sort="0" autoFilter="0"/>
  <mergeCells count="1072">
    <mergeCell ref="AX49:AY49"/>
    <mergeCell ref="AZ49:BB49"/>
    <mergeCell ref="AJ43:AO43"/>
    <mergeCell ref="AQ43:AV43"/>
    <mergeCell ref="AX43:BC43"/>
    <mergeCell ref="AJ44:AO44"/>
    <mergeCell ref="AQ44:AV44"/>
    <mergeCell ref="AX44:BC44"/>
    <mergeCell ref="AJ45:AO45"/>
    <mergeCell ref="AQ45:AV45"/>
    <mergeCell ref="AX45:BC45"/>
    <mergeCell ref="AK47:AO47"/>
    <mergeCell ref="AR47:AV47"/>
    <mergeCell ref="AY47:BC47"/>
    <mergeCell ref="AX46:AZ46"/>
    <mergeCell ref="BA46:BC46"/>
    <mergeCell ref="AJ52:AO52"/>
    <mergeCell ref="AQ52:AV52"/>
    <mergeCell ref="AX52:BC52"/>
    <mergeCell ref="AJ50:AK50"/>
    <mergeCell ref="AQ50:AR50"/>
    <mergeCell ref="AX50:AY50"/>
    <mergeCell ref="AJ51:AK51"/>
    <mergeCell ref="AQ51:AR51"/>
    <mergeCell ref="AX51:AY51"/>
    <mergeCell ref="AL51:AM51"/>
    <mergeCell ref="AS51:AT51"/>
    <mergeCell ref="AZ51:BA51"/>
    <mergeCell ref="AZ50:BC50"/>
    <mergeCell ref="AX30:BC30"/>
    <mergeCell ref="AJ31:AO31"/>
    <mergeCell ref="AQ31:AV31"/>
    <mergeCell ref="AX31:BC31"/>
    <mergeCell ref="AK33:AO33"/>
    <mergeCell ref="AJ39:AK39"/>
    <mergeCell ref="AQ39:AR39"/>
    <mergeCell ref="AX39:AY39"/>
    <mergeCell ref="AJ37:AK37"/>
    <mergeCell ref="AL37:AN37"/>
    <mergeCell ref="AQ37:AR37"/>
    <mergeCell ref="AS37:AU37"/>
    <mergeCell ref="AX37:AY37"/>
    <mergeCell ref="AZ37:BB37"/>
    <mergeCell ref="AJ38:AK38"/>
    <mergeCell ref="AQ38:AR38"/>
    <mergeCell ref="AX38:AY38"/>
    <mergeCell ref="AX16:BC16"/>
    <mergeCell ref="AJ25:AK25"/>
    <mergeCell ref="AQ25:AR25"/>
    <mergeCell ref="AX25:AY25"/>
    <mergeCell ref="AQ23:AR23"/>
    <mergeCell ref="AS23:AU23"/>
    <mergeCell ref="AX23:AY23"/>
    <mergeCell ref="AZ23:BB23"/>
    <mergeCell ref="AJ24:AK24"/>
    <mergeCell ref="AQ24:AR24"/>
    <mergeCell ref="AX24:AY24"/>
    <mergeCell ref="AX27:BC27"/>
    <mergeCell ref="AJ28:AO28"/>
    <mergeCell ref="AQ28:AV28"/>
    <mergeCell ref="AX28:BC28"/>
    <mergeCell ref="AJ29:AO29"/>
    <mergeCell ref="AQ29:AV29"/>
    <mergeCell ref="AX29:BC29"/>
    <mergeCell ref="AJ11:AO11"/>
    <mergeCell ref="AQ11:AV11"/>
    <mergeCell ref="AX11:BC11"/>
    <mergeCell ref="AJ12:AO12"/>
    <mergeCell ref="AQ12:AV12"/>
    <mergeCell ref="AX12:BC12"/>
    <mergeCell ref="AJ13:AO13"/>
    <mergeCell ref="AQ13:AV13"/>
    <mergeCell ref="AX13:BC13"/>
    <mergeCell ref="AJ8:AO8"/>
    <mergeCell ref="AQ8:AV8"/>
    <mergeCell ref="AX8:BC8"/>
    <mergeCell ref="AJ9:AO9"/>
    <mergeCell ref="AQ9:AV9"/>
    <mergeCell ref="AX9:BC9"/>
    <mergeCell ref="AJ10:AO10"/>
    <mergeCell ref="AQ10:AV10"/>
    <mergeCell ref="AX10:BC10"/>
    <mergeCell ref="AJ1:AO1"/>
    <mergeCell ref="AQ1:AV1"/>
    <mergeCell ref="AX1:BC1"/>
    <mergeCell ref="AJ2:AO2"/>
    <mergeCell ref="AQ2:AV2"/>
    <mergeCell ref="AX2:BC2"/>
    <mergeCell ref="AJ3:AO3"/>
    <mergeCell ref="AQ3:AV3"/>
    <mergeCell ref="AX3:BC3"/>
    <mergeCell ref="AJ4:AO4"/>
    <mergeCell ref="AQ4:AV4"/>
    <mergeCell ref="AX4:BC4"/>
    <mergeCell ref="AJ5:AO5"/>
    <mergeCell ref="AQ5:AV5"/>
    <mergeCell ref="AX5:BC5"/>
    <mergeCell ref="AJ6:AO6"/>
    <mergeCell ref="AQ6:AV6"/>
    <mergeCell ref="AX6:BC6"/>
    <mergeCell ref="BZ43:CE43"/>
    <mergeCell ref="BL44:BQ44"/>
    <mergeCell ref="BS44:BX44"/>
    <mergeCell ref="BZ44:CE44"/>
    <mergeCell ref="BL45:BQ45"/>
    <mergeCell ref="BS45:BX45"/>
    <mergeCell ref="BZ45:CE45"/>
    <mergeCell ref="BV48:BX48"/>
    <mergeCell ref="CA48:CB48"/>
    <mergeCell ref="CC48:CE48"/>
    <mergeCell ref="CB51:CC51"/>
    <mergeCell ref="BL52:BQ52"/>
    <mergeCell ref="BS52:BX52"/>
    <mergeCell ref="BZ52:CE52"/>
    <mergeCell ref="BZ50:CA50"/>
    <mergeCell ref="BL51:BM51"/>
    <mergeCell ref="BS51:BT51"/>
    <mergeCell ref="BZ51:CA51"/>
    <mergeCell ref="BZ40:CE40"/>
    <mergeCell ref="BL41:BQ41"/>
    <mergeCell ref="BS41:BX41"/>
    <mergeCell ref="BZ41:CE41"/>
    <mergeCell ref="BZ37:CA37"/>
    <mergeCell ref="CB37:CD37"/>
    <mergeCell ref="BL38:BM38"/>
    <mergeCell ref="BS38:BT38"/>
    <mergeCell ref="BZ38:CA38"/>
    <mergeCell ref="BL39:BM39"/>
    <mergeCell ref="BS39:BT39"/>
    <mergeCell ref="BZ39:CA39"/>
    <mergeCell ref="BM33:BQ33"/>
    <mergeCell ref="BT33:BX33"/>
    <mergeCell ref="CA33:CE33"/>
    <mergeCell ref="BL34:BQ34"/>
    <mergeCell ref="BS34:BX34"/>
    <mergeCell ref="BZ34:CE34"/>
    <mergeCell ref="BL35:BQ35"/>
    <mergeCell ref="BS35:BX35"/>
    <mergeCell ref="BZ35:CE35"/>
    <mergeCell ref="BZ3:CE3"/>
    <mergeCell ref="BL4:BQ4"/>
    <mergeCell ref="BS4:BX4"/>
    <mergeCell ref="BZ4:CE4"/>
    <mergeCell ref="BL5:BQ5"/>
    <mergeCell ref="BS5:BX5"/>
    <mergeCell ref="BZ5:CE5"/>
    <mergeCell ref="BL19:BQ19"/>
    <mergeCell ref="BS19:BX19"/>
    <mergeCell ref="BZ19:CE19"/>
    <mergeCell ref="BM21:BQ21"/>
    <mergeCell ref="BT21:BX21"/>
    <mergeCell ref="CA21:CE21"/>
    <mergeCell ref="BM22:BN22"/>
    <mergeCell ref="BO22:BQ22"/>
    <mergeCell ref="BT22:BU22"/>
    <mergeCell ref="BV22:BX22"/>
    <mergeCell ref="CA22:CB22"/>
    <mergeCell ref="CC22:CE22"/>
    <mergeCell ref="BL14:BQ14"/>
    <mergeCell ref="BS14:BX14"/>
    <mergeCell ref="BZ14:CE14"/>
    <mergeCell ref="BL15:BQ15"/>
    <mergeCell ref="BS15:BX15"/>
    <mergeCell ref="BZ15:CE15"/>
    <mergeCell ref="BL16:BQ16"/>
    <mergeCell ref="BS16:BX16"/>
    <mergeCell ref="BZ16:CE16"/>
    <mergeCell ref="BL17:BQ17"/>
    <mergeCell ref="BS17:BX17"/>
    <mergeCell ref="BZ17:CE17"/>
    <mergeCell ref="BL18:BQ18"/>
    <mergeCell ref="BZ7:CE7"/>
    <mergeCell ref="BL8:BQ8"/>
    <mergeCell ref="BS8:BX8"/>
    <mergeCell ref="BZ8:CE8"/>
    <mergeCell ref="BL9:BQ9"/>
    <mergeCell ref="BS9:BX9"/>
    <mergeCell ref="BZ9:CE9"/>
    <mergeCell ref="BL29:BQ29"/>
    <mergeCell ref="BS29:BX29"/>
    <mergeCell ref="BZ29:CE29"/>
    <mergeCell ref="BL30:BQ30"/>
    <mergeCell ref="BS30:BX30"/>
    <mergeCell ref="BZ30:CE30"/>
    <mergeCell ref="BL31:BQ31"/>
    <mergeCell ref="BS31:BX31"/>
    <mergeCell ref="BZ31:CE31"/>
    <mergeCell ref="BZ25:CA25"/>
    <mergeCell ref="BL26:BQ26"/>
    <mergeCell ref="BL27:BQ27"/>
    <mergeCell ref="BS27:BX27"/>
    <mergeCell ref="BZ27:CE27"/>
    <mergeCell ref="BL28:BQ28"/>
    <mergeCell ref="BS28:BX28"/>
    <mergeCell ref="BZ28:CE28"/>
    <mergeCell ref="CN49:CO49"/>
    <mergeCell ref="CP49:CR49"/>
    <mergeCell ref="CU49:CV49"/>
    <mergeCell ref="CW49:CY49"/>
    <mergeCell ref="DB49:DC49"/>
    <mergeCell ref="DD49:DF49"/>
    <mergeCell ref="CN44:CS44"/>
    <mergeCell ref="CU44:CZ44"/>
    <mergeCell ref="DB44:DG44"/>
    <mergeCell ref="CN45:CS45"/>
    <mergeCell ref="CU45:CZ45"/>
    <mergeCell ref="DB45:DG45"/>
    <mergeCell ref="CO47:CS47"/>
    <mergeCell ref="CV47:CZ47"/>
    <mergeCell ref="DC47:DG47"/>
    <mergeCell ref="CN52:CS52"/>
    <mergeCell ref="CU52:CZ52"/>
    <mergeCell ref="DB52:DG52"/>
    <mergeCell ref="CU50:CV50"/>
    <mergeCell ref="DB50:DC50"/>
    <mergeCell ref="CN51:CO51"/>
    <mergeCell ref="CU51:CV51"/>
    <mergeCell ref="DB51:DC51"/>
    <mergeCell ref="DD51:DE51"/>
    <mergeCell ref="CU41:CZ41"/>
    <mergeCell ref="DB41:DG41"/>
    <mergeCell ref="CN42:CS42"/>
    <mergeCell ref="CU42:CZ42"/>
    <mergeCell ref="DB42:DG42"/>
    <mergeCell ref="CN43:CS43"/>
    <mergeCell ref="CU43:CZ43"/>
    <mergeCell ref="DB43:DG43"/>
    <mergeCell ref="CN39:CO39"/>
    <mergeCell ref="CU39:CV39"/>
    <mergeCell ref="DB39:DC39"/>
    <mergeCell ref="CN40:CS40"/>
    <mergeCell ref="DD39:DE39"/>
    <mergeCell ref="CV48:CW48"/>
    <mergeCell ref="CX48:CZ48"/>
    <mergeCell ref="DC48:DD48"/>
    <mergeCell ref="DE48:DG48"/>
    <mergeCell ref="CU38:CV38"/>
    <mergeCell ref="DB38:DC38"/>
    <mergeCell ref="CU34:CZ34"/>
    <mergeCell ref="DB34:DG34"/>
    <mergeCell ref="CN35:CS35"/>
    <mergeCell ref="CU35:CZ35"/>
    <mergeCell ref="DB35:DG35"/>
    <mergeCell ref="CO36:CP36"/>
    <mergeCell ref="CQ36:CS36"/>
    <mergeCell ref="CV36:CW36"/>
    <mergeCell ref="CX36:CZ36"/>
    <mergeCell ref="DC36:DD36"/>
    <mergeCell ref="DE36:DG36"/>
    <mergeCell ref="CN37:CO37"/>
    <mergeCell ref="CP37:CR37"/>
    <mergeCell ref="CN34:CS34"/>
    <mergeCell ref="CU40:CZ40"/>
    <mergeCell ref="DB40:DG40"/>
    <mergeCell ref="CV33:CZ33"/>
    <mergeCell ref="DC33:DG33"/>
    <mergeCell ref="CU26:CZ26"/>
    <mergeCell ref="DB26:DG26"/>
    <mergeCell ref="CN27:CS27"/>
    <mergeCell ref="CU27:CZ27"/>
    <mergeCell ref="DB27:DG27"/>
    <mergeCell ref="CN28:CS28"/>
    <mergeCell ref="CU28:CZ28"/>
    <mergeCell ref="DB28:DG28"/>
    <mergeCell ref="CN29:CS29"/>
    <mergeCell ref="CU29:CZ29"/>
    <mergeCell ref="DB29:DG29"/>
    <mergeCell ref="CN26:CS26"/>
    <mergeCell ref="CU37:CV37"/>
    <mergeCell ref="CW37:CY37"/>
    <mergeCell ref="DB37:DC37"/>
    <mergeCell ref="DD37:DF37"/>
    <mergeCell ref="CU25:CV25"/>
    <mergeCell ref="DB25:DC25"/>
    <mergeCell ref="CU23:CV23"/>
    <mergeCell ref="CW23:CY23"/>
    <mergeCell ref="DB23:DC23"/>
    <mergeCell ref="DD23:DF23"/>
    <mergeCell ref="CN24:CO24"/>
    <mergeCell ref="CU24:CV24"/>
    <mergeCell ref="DB24:DC24"/>
    <mergeCell ref="CN23:CO23"/>
    <mergeCell ref="CP23:CR23"/>
    <mergeCell ref="DD25:DE25"/>
    <mergeCell ref="CQ22:CS22"/>
    <mergeCell ref="CN30:CS30"/>
    <mergeCell ref="CU30:CZ30"/>
    <mergeCell ref="DB30:DG30"/>
    <mergeCell ref="CN31:CS31"/>
    <mergeCell ref="CU31:CZ31"/>
    <mergeCell ref="DB31:DG31"/>
    <mergeCell ref="CN9:CS9"/>
    <mergeCell ref="CU9:CZ9"/>
    <mergeCell ref="DB9:DG9"/>
    <mergeCell ref="CN10:CS10"/>
    <mergeCell ref="CU10:CZ10"/>
    <mergeCell ref="DB10:DG10"/>
    <mergeCell ref="CN11:CS11"/>
    <mergeCell ref="CN19:CS19"/>
    <mergeCell ref="CU19:CZ19"/>
    <mergeCell ref="DB19:DG19"/>
    <mergeCell ref="CO21:CS21"/>
    <mergeCell ref="CV21:CZ21"/>
    <mergeCell ref="DC21:DG21"/>
    <mergeCell ref="CN15:CS15"/>
    <mergeCell ref="CU20:CW20"/>
    <mergeCell ref="CX20:CZ20"/>
    <mergeCell ref="CV22:CW22"/>
    <mergeCell ref="CX22:CZ22"/>
    <mergeCell ref="DC22:DD22"/>
    <mergeCell ref="DE22:DG22"/>
    <mergeCell ref="CU15:CZ15"/>
    <mergeCell ref="DB15:DG15"/>
    <mergeCell ref="CN16:CS16"/>
    <mergeCell ref="CU16:CZ16"/>
    <mergeCell ref="DB16:DG16"/>
    <mergeCell ref="CN17:CS17"/>
    <mergeCell ref="CU17:CZ17"/>
    <mergeCell ref="DB17:DG17"/>
    <mergeCell ref="CN18:CS18"/>
    <mergeCell ref="CU18:CZ18"/>
    <mergeCell ref="DB18:DG18"/>
    <mergeCell ref="CU11:CZ11"/>
    <mergeCell ref="DB11:DG11"/>
    <mergeCell ref="CN12:CS12"/>
    <mergeCell ref="CU12:CZ12"/>
    <mergeCell ref="DB12:DG12"/>
    <mergeCell ref="CN13:CS13"/>
    <mergeCell ref="CU13:CZ13"/>
    <mergeCell ref="DB13:DG13"/>
    <mergeCell ref="CN14:CS14"/>
    <mergeCell ref="CN1:CS1"/>
    <mergeCell ref="CU1:CZ1"/>
    <mergeCell ref="DB1:DG1"/>
    <mergeCell ref="CN2:CS2"/>
    <mergeCell ref="CU2:CZ2"/>
    <mergeCell ref="DB2:DG2"/>
    <mergeCell ref="CN3:CS3"/>
    <mergeCell ref="CU3:CZ3"/>
    <mergeCell ref="DB3:DG3"/>
    <mergeCell ref="CN4:CS4"/>
    <mergeCell ref="CU4:CZ4"/>
    <mergeCell ref="DB4:DG4"/>
    <mergeCell ref="CN5:CS5"/>
    <mergeCell ref="CU5:CZ5"/>
    <mergeCell ref="DB5:DG5"/>
    <mergeCell ref="CN6:CS6"/>
    <mergeCell ref="CU6:CZ6"/>
    <mergeCell ref="DB6:DG6"/>
    <mergeCell ref="CU14:CZ14"/>
    <mergeCell ref="DB14:DG14"/>
    <mergeCell ref="CN8:CS8"/>
    <mergeCell ref="CU8:CZ8"/>
    <mergeCell ref="DB8:DG8"/>
    <mergeCell ref="AX42:BC42"/>
    <mergeCell ref="AR33:AV33"/>
    <mergeCell ref="AY33:BC33"/>
    <mergeCell ref="AJ34:AO34"/>
    <mergeCell ref="AQ34:AV34"/>
    <mergeCell ref="AX34:BC34"/>
    <mergeCell ref="AJ35:AO35"/>
    <mergeCell ref="AQ35:AV35"/>
    <mergeCell ref="AX35:BC35"/>
    <mergeCell ref="AK36:AL36"/>
    <mergeCell ref="AM36:AO36"/>
    <mergeCell ref="BU39:BV39"/>
    <mergeCell ref="CN7:CS7"/>
    <mergeCell ref="CU7:CZ7"/>
    <mergeCell ref="DB7:DG7"/>
    <mergeCell ref="CN50:CO50"/>
    <mergeCell ref="BL49:BM49"/>
    <mergeCell ref="BN49:BP49"/>
    <mergeCell ref="BS49:BT49"/>
    <mergeCell ref="BU49:BW49"/>
    <mergeCell ref="BZ49:CA49"/>
    <mergeCell ref="CB49:CD49"/>
    <mergeCell ref="BL50:BM50"/>
    <mergeCell ref="BS50:BT50"/>
    <mergeCell ref="CO48:CP48"/>
    <mergeCell ref="CQ48:CS48"/>
    <mergeCell ref="BM47:BQ47"/>
    <mergeCell ref="BT47:BX47"/>
    <mergeCell ref="CA47:CE47"/>
    <mergeCell ref="BM48:BN48"/>
    <mergeCell ref="BO48:BQ48"/>
    <mergeCell ref="BT48:BU48"/>
    <mergeCell ref="BZ18:CE18"/>
    <mergeCell ref="AJ17:AO17"/>
    <mergeCell ref="AQ17:AV17"/>
    <mergeCell ref="AX17:BC17"/>
    <mergeCell ref="AJ18:AO18"/>
    <mergeCell ref="AQ18:AV18"/>
    <mergeCell ref="AX18:BC18"/>
    <mergeCell ref="CH22:CI22"/>
    <mergeCell ref="AJ26:AO26"/>
    <mergeCell ref="AQ26:AV26"/>
    <mergeCell ref="AX26:BC26"/>
    <mergeCell ref="CN25:CO25"/>
    <mergeCell ref="BL24:BM24"/>
    <mergeCell ref="BS24:BT24"/>
    <mergeCell ref="BZ24:CA24"/>
    <mergeCell ref="BL25:BM25"/>
    <mergeCell ref="BS25:BT25"/>
    <mergeCell ref="CG24:CH24"/>
    <mergeCell ref="CO22:CP22"/>
    <mergeCell ref="BS26:BX26"/>
    <mergeCell ref="BZ26:CE26"/>
    <mergeCell ref="BU25:BV25"/>
    <mergeCell ref="CP25:CQ25"/>
    <mergeCell ref="BH20:BJ20"/>
    <mergeCell ref="BG24:BJ24"/>
    <mergeCell ref="AT22:AV22"/>
    <mergeCell ref="AY22:AZ22"/>
    <mergeCell ref="BA22:BC22"/>
    <mergeCell ref="BZ12:CE12"/>
    <mergeCell ref="BL13:BQ13"/>
    <mergeCell ref="BS13:BX13"/>
    <mergeCell ref="BZ13:CE13"/>
    <mergeCell ref="V52:AA52"/>
    <mergeCell ref="Y48:AA48"/>
    <mergeCell ref="V49:W49"/>
    <mergeCell ref="X49:Z49"/>
    <mergeCell ref="V50:W50"/>
    <mergeCell ref="V51:W51"/>
    <mergeCell ref="V40:AA40"/>
    <mergeCell ref="V41:AA41"/>
    <mergeCell ref="V42:AA42"/>
    <mergeCell ref="V43:AA43"/>
    <mergeCell ref="V44:AA44"/>
    <mergeCell ref="V45:AA45"/>
    <mergeCell ref="BL23:BM23"/>
    <mergeCell ref="BN23:BP23"/>
    <mergeCell ref="BS23:BT23"/>
    <mergeCell ref="BU23:BW23"/>
    <mergeCell ref="BZ23:CA23"/>
    <mergeCell ref="CB23:CD23"/>
    <mergeCell ref="AJ23:AK23"/>
    <mergeCell ref="AL23:AN23"/>
    <mergeCell ref="AJ27:AO27"/>
    <mergeCell ref="AQ27:AV27"/>
    <mergeCell ref="BM36:BN36"/>
    <mergeCell ref="BO36:BQ36"/>
    <mergeCell ref="BT36:BU36"/>
    <mergeCell ref="BV36:BX36"/>
    <mergeCell ref="CA36:CB36"/>
    <mergeCell ref="BS18:BX18"/>
    <mergeCell ref="O52:T52"/>
    <mergeCell ref="V1:AA1"/>
    <mergeCell ref="V2:AA2"/>
    <mergeCell ref="V3:AA3"/>
    <mergeCell ref="V4:AA4"/>
    <mergeCell ref="V5:AA5"/>
    <mergeCell ref="V6:AA6"/>
    <mergeCell ref="V7:AA7"/>
    <mergeCell ref="V8:AA8"/>
    <mergeCell ref="V9:AA9"/>
    <mergeCell ref="V10:AA10"/>
    <mergeCell ref="V11:AA11"/>
    <mergeCell ref="V12:AA12"/>
    <mergeCell ref="V13:AA13"/>
    <mergeCell ref="V14:AA14"/>
    <mergeCell ref="V15:AA15"/>
    <mergeCell ref="V16:AA16"/>
    <mergeCell ref="V17:AA17"/>
    <mergeCell ref="V18:AA18"/>
    <mergeCell ref="V19:AA19"/>
    <mergeCell ref="W21:AA21"/>
    <mergeCell ref="O40:T40"/>
    <mergeCell ref="O41:T41"/>
    <mergeCell ref="O42:T42"/>
    <mergeCell ref="O43:T43"/>
    <mergeCell ref="X25:Y25"/>
    <mergeCell ref="X39:Y39"/>
    <mergeCell ref="Y46:AA46"/>
    <mergeCell ref="X50:AA50"/>
    <mergeCell ref="O44:T44"/>
    <mergeCell ref="O45:T45"/>
    <mergeCell ref="P47:T47"/>
    <mergeCell ref="H42:M42"/>
    <mergeCell ref="H43:M43"/>
    <mergeCell ref="H44:M44"/>
    <mergeCell ref="H45:M45"/>
    <mergeCell ref="I47:M47"/>
    <mergeCell ref="I48:J48"/>
    <mergeCell ref="K48:M48"/>
    <mergeCell ref="H49:I49"/>
    <mergeCell ref="J49:L49"/>
    <mergeCell ref="H27:M27"/>
    <mergeCell ref="H28:M28"/>
    <mergeCell ref="H29:M29"/>
    <mergeCell ref="H30:M30"/>
    <mergeCell ref="H31:M31"/>
    <mergeCell ref="I33:M33"/>
    <mergeCell ref="H34:M34"/>
    <mergeCell ref="H35:M35"/>
    <mergeCell ref="I36:J36"/>
    <mergeCell ref="K36:M36"/>
    <mergeCell ref="A3:F3"/>
    <mergeCell ref="AC3:AH3"/>
    <mergeCell ref="BE3:BJ3"/>
    <mergeCell ref="CG3:CL3"/>
    <mergeCell ref="A4:F4"/>
    <mergeCell ref="AC4:AH4"/>
    <mergeCell ref="BE4:BJ4"/>
    <mergeCell ref="CG4:CL4"/>
    <mergeCell ref="A1:F1"/>
    <mergeCell ref="AC1:AH1"/>
    <mergeCell ref="BE1:BJ1"/>
    <mergeCell ref="CG1:CL1"/>
    <mergeCell ref="A2:F2"/>
    <mergeCell ref="AC2:AH2"/>
    <mergeCell ref="BE2:BJ2"/>
    <mergeCell ref="CG2:CL2"/>
    <mergeCell ref="H1:M1"/>
    <mergeCell ref="H2:M2"/>
    <mergeCell ref="H3:M3"/>
    <mergeCell ref="H4:M4"/>
    <mergeCell ref="BL1:BQ1"/>
    <mergeCell ref="BS1:BX1"/>
    <mergeCell ref="BZ1:CE1"/>
    <mergeCell ref="BL2:BQ2"/>
    <mergeCell ref="O1:T1"/>
    <mergeCell ref="O2:T2"/>
    <mergeCell ref="O3:T3"/>
    <mergeCell ref="O4:T4"/>
    <mergeCell ref="BS2:BX2"/>
    <mergeCell ref="BZ2:CE2"/>
    <mergeCell ref="BL3:BQ3"/>
    <mergeCell ref="BS3:BX3"/>
    <mergeCell ref="A7:F7"/>
    <mergeCell ref="AC7:AH7"/>
    <mergeCell ref="BE7:BJ7"/>
    <mergeCell ref="CG7:CL7"/>
    <mergeCell ref="A8:F8"/>
    <mergeCell ref="AC8:AH8"/>
    <mergeCell ref="BE8:BJ8"/>
    <mergeCell ref="CG8:CL8"/>
    <mergeCell ref="A5:F5"/>
    <mergeCell ref="AC5:AH5"/>
    <mergeCell ref="BE5:BJ5"/>
    <mergeCell ref="CG5:CL5"/>
    <mergeCell ref="A6:F6"/>
    <mergeCell ref="AC6:AH6"/>
    <mergeCell ref="BE6:BJ6"/>
    <mergeCell ref="CG6:CL6"/>
    <mergeCell ref="H5:M5"/>
    <mergeCell ref="H6:M6"/>
    <mergeCell ref="H7:M7"/>
    <mergeCell ref="H8:M8"/>
    <mergeCell ref="BL6:BQ6"/>
    <mergeCell ref="BS6:BX6"/>
    <mergeCell ref="BZ6:CE6"/>
    <mergeCell ref="O5:T5"/>
    <mergeCell ref="O6:T6"/>
    <mergeCell ref="O7:T7"/>
    <mergeCell ref="O8:T8"/>
    <mergeCell ref="AJ7:AO7"/>
    <mergeCell ref="AQ7:AV7"/>
    <mergeCell ref="AX7:BC7"/>
    <mergeCell ref="BL7:BQ7"/>
    <mergeCell ref="BS7:BX7"/>
    <mergeCell ref="A11:F11"/>
    <mergeCell ref="AC11:AH11"/>
    <mergeCell ref="BE11:BJ11"/>
    <mergeCell ref="CG11:CL11"/>
    <mergeCell ref="A12:F12"/>
    <mergeCell ref="AC12:AH12"/>
    <mergeCell ref="BE12:BJ12"/>
    <mergeCell ref="CG12:CL12"/>
    <mergeCell ref="A9:F9"/>
    <mergeCell ref="AC9:AH9"/>
    <mergeCell ref="BE9:BJ9"/>
    <mergeCell ref="CG9:CL9"/>
    <mergeCell ref="A10:F10"/>
    <mergeCell ref="AC10:AH10"/>
    <mergeCell ref="BE10:BJ10"/>
    <mergeCell ref="CG10:CL10"/>
    <mergeCell ref="H9:M9"/>
    <mergeCell ref="H10:M10"/>
    <mergeCell ref="H11:M11"/>
    <mergeCell ref="H12:M12"/>
    <mergeCell ref="O9:T9"/>
    <mergeCell ref="O10:T10"/>
    <mergeCell ref="O11:T11"/>
    <mergeCell ref="O12:T12"/>
    <mergeCell ref="BL10:BQ10"/>
    <mergeCell ref="BS10:BX10"/>
    <mergeCell ref="BZ10:CE10"/>
    <mergeCell ref="BL11:BQ11"/>
    <mergeCell ref="BS11:BX11"/>
    <mergeCell ref="BZ11:CE11"/>
    <mergeCell ref="BL12:BQ12"/>
    <mergeCell ref="BS12:BX12"/>
    <mergeCell ref="A15:F15"/>
    <mergeCell ref="AC15:AH15"/>
    <mergeCell ref="BE15:BJ15"/>
    <mergeCell ref="CG15:CL15"/>
    <mergeCell ref="A16:F16"/>
    <mergeCell ref="AC16:AH16"/>
    <mergeCell ref="BE16:BJ16"/>
    <mergeCell ref="CG16:CL16"/>
    <mergeCell ref="A13:F13"/>
    <mergeCell ref="AC13:AH13"/>
    <mergeCell ref="BE13:BJ13"/>
    <mergeCell ref="CG13:CL13"/>
    <mergeCell ref="A14:F14"/>
    <mergeCell ref="AC14:AH14"/>
    <mergeCell ref="BE14:BJ14"/>
    <mergeCell ref="CG14:CL14"/>
    <mergeCell ref="H13:M13"/>
    <mergeCell ref="H14:M14"/>
    <mergeCell ref="H15:M15"/>
    <mergeCell ref="H16:M16"/>
    <mergeCell ref="O13:T13"/>
    <mergeCell ref="O14:T14"/>
    <mergeCell ref="O15:T15"/>
    <mergeCell ref="O16:T16"/>
    <mergeCell ref="AJ14:AO14"/>
    <mergeCell ref="AQ14:AV14"/>
    <mergeCell ref="AX14:BC14"/>
    <mergeCell ref="AJ15:AO15"/>
    <mergeCell ref="AQ15:AV15"/>
    <mergeCell ref="AX15:BC15"/>
    <mergeCell ref="AJ16:AO16"/>
    <mergeCell ref="AQ16:AV16"/>
    <mergeCell ref="A19:F19"/>
    <mergeCell ref="AC19:AH19"/>
    <mergeCell ref="BE19:BJ19"/>
    <mergeCell ref="CG19:CL19"/>
    <mergeCell ref="B21:F21"/>
    <mergeCell ref="AD21:AH21"/>
    <mergeCell ref="BF21:BJ21"/>
    <mergeCell ref="CH21:CL21"/>
    <mergeCell ref="A17:F17"/>
    <mergeCell ref="AC17:AH17"/>
    <mergeCell ref="BE17:BJ17"/>
    <mergeCell ref="CG17:CL17"/>
    <mergeCell ref="A18:F18"/>
    <mergeCell ref="AC18:AH18"/>
    <mergeCell ref="BE18:BJ18"/>
    <mergeCell ref="CG18:CL18"/>
    <mergeCell ref="H17:M17"/>
    <mergeCell ref="H18:M18"/>
    <mergeCell ref="H19:M19"/>
    <mergeCell ref="I21:M21"/>
    <mergeCell ref="O18:T18"/>
    <mergeCell ref="O19:T19"/>
    <mergeCell ref="P21:T21"/>
    <mergeCell ref="O17:T17"/>
    <mergeCell ref="AJ19:AO19"/>
    <mergeCell ref="AQ19:AV19"/>
    <mergeCell ref="AX19:BC19"/>
    <mergeCell ref="AK21:AO21"/>
    <mergeCell ref="AR21:AV21"/>
    <mergeCell ref="AY21:BC21"/>
    <mergeCell ref="AF20:AH20"/>
    <mergeCell ref="BE20:BG20"/>
    <mergeCell ref="A23:B23"/>
    <mergeCell ref="C23:E23"/>
    <mergeCell ref="AC23:AD23"/>
    <mergeCell ref="AE23:AG23"/>
    <mergeCell ref="BE23:BF23"/>
    <mergeCell ref="BG23:BI23"/>
    <mergeCell ref="CG23:CH23"/>
    <mergeCell ref="CI23:CK23"/>
    <mergeCell ref="B22:C22"/>
    <mergeCell ref="AD22:AE22"/>
    <mergeCell ref="BF22:BG22"/>
    <mergeCell ref="D22:F22"/>
    <mergeCell ref="CJ22:CL22"/>
    <mergeCell ref="AF22:AH22"/>
    <mergeCell ref="BH22:BJ22"/>
    <mergeCell ref="I22:J22"/>
    <mergeCell ref="K22:M22"/>
    <mergeCell ref="H23:I23"/>
    <mergeCell ref="J23:L23"/>
    <mergeCell ref="Q23:S23"/>
    <mergeCell ref="W22:X22"/>
    <mergeCell ref="Y22:AA22"/>
    <mergeCell ref="V23:W23"/>
    <mergeCell ref="P22:Q22"/>
    <mergeCell ref="R22:T22"/>
    <mergeCell ref="O23:P23"/>
    <mergeCell ref="AK22:AL22"/>
    <mergeCell ref="AM22:AO22"/>
    <mergeCell ref="AR22:AS22"/>
    <mergeCell ref="X23:Z23"/>
    <mergeCell ref="A26:F26"/>
    <mergeCell ref="AC26:AH26"/>
    <mergeCell ref="BE26:BJ26"/>
    <mergeCell ref="CG26:CL26"/>
    <mergeCell ref="A27:F27"/>
    <mergeCell ref="AC27:AH27"/>
    <mergeCell ref="BE27:BJ27"/>
    <mergeCell ref="CG27:CL27"/>
    <mergeCell ref="H26:M26"/>
    <mergeCell ref="A25:B25"/>
    <mergeCell ref="AC25:AD25"/>
    <mergeCell ref="BE25:BF25"/>
    <mergeCell ref="CG25:CH25"/>
    <mergeCell ref="A24:B24"/>
    <mergeCell ref="AC24:AD24"/>
    <mergeCell ref="BE24:BF24"/>
    <mergeCell ref="H24:I24"/>
    <mergeCell ref="H25:I25"/>
    <mergeCell ref="O24:P24"/>
    <mergeCell ref="O25:P25"/>
    <mergeCell ref="AL25:AM25"/>
    <mergeCell ref="AS25:AT25"/>
    <mergeCell ref="AZ25:BA25"/>
    <mergeCell ref="CB25:CC25"/>
    <mergeCell ref="AE25:AF25"/>
    <mergeCell ref="Q25:R25"/>
    <mergeCell ref="V27:AA27"/>
    <mergeCell ref="V24:W24"/>
    <mergeCell ref="V25:W25"/>
    <mergeCell ref="V26:AA26"/>
    <mergeCell ref="O26:T26"/>
    <mergeCell ref="O27:T27"/>
    <mergeCell ref="A30:F30"/>
    <mergeCell ref="AC30:AH30"/>
    <mergeCell ref="BE30:BJ30"/>
    <mergeCell ref="CG30:CL30"/>
    <mergeCell ref="A31:F31"/>
    <mergeCell ref="AC31:AH31"/>
    <mergeCell ref="BE31:BJ31"/>
    <mergeCell ref="CG31:CL31"/>
    <mergeCell ref="A28:F28"/>
    <mergeCell ref="AC28:AH28"/>
    <mergeCell ref="BE28:BJ28"/>
    <mergeCell ref="CG28:CL28"/>
    <mergeCell ref="A29:F29"/>
    <mergeCell ref="AC29:AH29"/>
    <mergeCell ref="BE29:BJ29"/>
    <mergeCell ref="CG29:CL29"/>
    <mergeCell ref="A35:F35"/>
    <mergeCell ref="AC35:AH35"/>
    <mergeCell ref="BE35:BJ35"/>
    <mergeCell ref="CG35:CL35"/>
    <mergeCell ref="V28:AA28"/>
    <mergeCell ref="V29:AA29"/>
    <mergeCell ref="V30:AA30"/>
    <mergeCell ref="V31:AA31"/>
    <mergeCell ref="W33:AA33"/>
    <mergeCell ref="V34:AA34"/>
    <mergeCell ref="V35:AA35"/>
    <mergeCell ref="O28:T28"/>
    <mergeCell ref="O29:T29"/>
    <mergeCell ref="O30:T30"/>
    <mergeCell ref="O31:T31"/>
    <mergeCell ref="AJ30:AO30"/>
    <mergeCell ref="B36:C36"/>
    <mergeCell ref="AD36:AE36"/>
    <mergeCell ref="BF36:BG36"/>
    <mergeCell ref="B33:F33"/>
    <mergeCell ref="AD33:AH33"/>
    <mergeCell ref="BF33:BJ33"/>
    <mergeCell ref="CH33:CL33"/>
    <mergeCell ref="A34:F34"/>
    <mergeCell ref="AC34:AH34"/>
    <mergeCell ref="BE34:BJ34"/>
    <mergeCell ref="CG34:CL34"/>
    <mergeCell ref="CH36:CI36"/>
    <mergeCell ref="BH36:BJ36"/>
    <mergeCell ref="D36:F36"/>
    <mergeCell ref="CJ36:CL36"/>
    <mergeCell ref="AF36:AH36"/>
    <mergeCell ref="P33:T33"/>
    <mergeCell ref="O34:T34"/>
    <mergeCell ref="O35:T35"/>
    <mergeCell ref="P36:Q36"/>
    <mergeCell ref="R36:T36"/>
    <mergeCell ref="CC36:CE36"/>
    <mergeCell ref="AR36:AS36"/>
    <mergeCell ref="AT36:AV36"/>
    <mergeCell ref="AY36:AZ36"/>
    <mergeCell ref="BA36:BC36"/>
    <mergeCell ref="W36:X36"/>
    <mergeCell ref="Y36:AA36"/>
    <mergeCell ref="A37:B37"/>
    <mergeCell ref="C37:E37"/>
    <mergeCell ref="AC37:AD37"/>
    <mergeCell ref="AE37:AG37"/>
    <mergeCell ref="BE37:BF37"/>
    <mergeCell ref="BG37:BI37"/>
    <mergeCell ref="CG37:CH37"/>
    <mergeCell ref="CI37:CK37"/>
    <mergeCell ref="CG38:CH38"/>
    <mergeCell ref="H37:I37"/>
    <mergeCell ref="J37:L37"/>
    <mergeCell ref="H38:I38"/>
    <mergeCell ref="V37:W37"/>
    <mergeCell ref="X37:Z37"/>
    <mergeCell ref="V38:W38"/>
    <mergeCell ref="O37:P37"/>
    <mergeCell ref="Q37:S37"/>
    <mergeCell ref="O38:P38"/>
    <mergeCell ref="BL37:BM37"/>
    <mergeCell ref="BN37:BP37"/>
    <mergeCell ref="BS37:BT37"/>
    <mergeCell ref="BU37:BW37"/>
    <mergeCell ref="A40:F40"/>
    <mergeCell ref="AC40:AH40"/>
    <mergeCell ref="BE40:BJ40"/>
    <mergeCell ref="CG40:CL40"/>
    <mergeCell ref="A41:F41"/>
    <mergeCell ref="AC41:AH41"/>
    <mergeCell ref="BE41:BJ41"/>
    <mergeCell ref="CG41:CL41"/>
    <mergeCell ref="H40:M40"/>
    <mergeCell ref="A39:B39"/>
    <mergeCell ref="AC39:AD39"/>
    <mergeCell ref="BE39:BF39"/>
    <mergeCell ref="CG39:CH39"/>
    <mergeCell ref="A38:B38"/>
    <mergeCell ref="AC38:AD38"/>
    <mergeCell ref="BE38:BF38"/>
    <mergeCell ref="H39:I39"/>
    <mergeCell ref="V39:W39"/>
    <mergeCell ref="AL39:AM39"/>
    <mergeCell ref="AS39:AT39"/>
    <mergeCell ref="AZ39:BA39"/>
    <mergeCell ref="CB39:CC39"/>
    <mergeCell ref="AE39:AF39"/>
    <mergeCell ref="H41:M41"/>
    <mergeCell ref="O39:P39"/>
    <mergeCell ref="AJ40:AO40"/>
    <mergeCell ref="AQ40:AV40"/>
    <mergeCell ref="AX40:BC40"/>
    <mergeCell ref="AJ41:AO41"/>
    <mergeCell ref="AQ41:AV41"/>
    <mergeCell ref="AX41:BC41"/>
    <mergeCell ref="BL40:BQ40"/>
    <mergeCell ref="C49:E49"/>
    <mergeCell ref="AC49:AD49"/>
    <mergeCell ref="AE49:AG49"/>
    <mergeCell ref="BE49:BF49"/>
    <mergeCell ref="BG49:BI49"/>
    <mergeCell ref="CG49:CH49"/>
    <mergeCell ref="CI49:CK49"/>
    <mergeCell ref="B47:F47"/>
    <mergeCell ref="AD47:AH47"/>
    <mergeCell ref="BF47:BJ47"/>
    <mergeCell ref="CH47:CL47"/>
    <mergeCell ref="B48:C48"/>
    <mergeCell ref="AD48:AE48"/>
    <mergeCell ref="BF48:BG48"/>
    <mergeCell ref="BH48:BJ48"/>
    <mergeCell ref="D48:F48"/>
    <mergeCell ref="CJ48:CL48"/>
    <mergeCell ref="AF48:AH48"/>
    <mergeCell ref="CH48:CI48"/>
    <mergeCell ref="O49:P49"/>
    <mergeCell ref="Q49:S49"/>
    <mergeCell ref="W47:AA47"/>
    <mergeCell ref="W48:X48"/>
    <mergeCell ref="R48:T48"/>
    <mergeCell ref="AK48:AL48"/>
    <mergeCell ref="AM48:AO48"/>
    <mergeCell ref="P48:Q48"/>
    <mergeCell ref="AR48:AS48"/>
    <mergeCell ref="AT48:AV48"/>
    <mergeCell ref="AY48:AZ48"/>
    <mergeCell ref="BA48:BC48"/>
    <mergeCell ref="AJ49:AK49"/>
    <mergeCell ref="C39:D39"/>
    <mergeCell ref="J25:K25"/>
    <mergeCell ref="J39:K39"/>
    <mergeCell ref="Q39:R39"/>
    <mergeCell ref="CI39:CJ39"/>
    <mergeCell ref="CI25:CJ25"/>
    <mergeCell ref="AZ38:BC38"/>
    <mergeCell ref="A52:F52"/>
    <mergeCell ref="AC52:AH52"/>
    <mergeCell ref="BE52:BJ52"/>
    <mergeCell ref="CG52:CL52"/>
    <mergeCell ref="H52:M52"/>
    <mergeCell ref="CG50:CH50"/>
    <mergeCell ref="A51:B51"/>
    <mergeCell ref="AC51:AD51"/>
    <mergeCell ref="BE51:BF51"/>
    <mergeCell ref="CG51:CH51"/>
    <mergeCell ref="A50:B50"/>
    <mergeCell ref="AC50:AD50"/>
    <mergeCell ref="BE50:BF50"/>
    <mergeCell ref="H50:I50"/>
    <mergeCell ref="H51:I51"/>
    <mergeCell ref="O50:P50"/>
    <mergeCell ref="O51:P51"/>
    <mergeCell ref="C51:D51"/>
    <mergeCell ref="J51:K51"/>
    <mergeCell ref="BU51:BV51"/>
    <mergeCell ref="AE51:AF51"/>
    <mergeCell ref="CI51:CJ51"/>
    <mergeCell ref="Q51:R51"/>
    <mergeCell ref="X51:Y51"/>
    <mergeCell ref="A49:B49"/>
    <mergeCell ref="CP51:CQ51"/>
    <mergeCell ref="CW25:CX25"/>
    <mergeCell ref="CW39:CX39"/>
    <mergeCell ref="CW51:CX51"/>
    <mergeCell ref="BG51:BH51"/>
    <mergeCell ref="BG39:BH39"/>
    <mergeCell ref="BG25:BH25"/>
    <mergeCell ref="BN39:BO39"/>
    <mergeCell ref="BN25:BO25"/>
    <mergeCell ref="BN51:BO51"/>
    <mergeCell ref="BE32:BG32"/>
    <mergeCell ref="BH32:BJ32"/>
    <mergeCell ref="BG38:BJ38"/>
    <mergeCell ref="BE46:BG46"/>
    <mergeCell ref="BH46:BJ46"/>
    <mergeCell ref="BG50:BJ50"/>
    <mergeCell ref="A44:F44"/>
    <mergeCell ref="AC44:AH44"/>
    <mergeCell ref="BE44:BJ44"/>
    <mergeCell ref="CG44:CL44"/>
    <mergeCell ref="A45:F45"/>
    <mergeCell ref="AC45:AH45"/>
    <mergeCell ref="BE45:BJ45"/>
    <mergeCell ref="CG45:CL45"/>
    <mergeCell ref="A42:F42"/>
    <mergeCell ref="AC42:AH42"/>
    <mergeCell ref="BE42:BJ42"/>
    <mergeCell ref="CG42:CL42"/>
    <mergeCell ref="A43:F43"/>
    <mergeCell ref="AC43:AH43"/>
    <mergeCell ref="BE43:BJ43"/>
    <mergeCell ref="CG43:CL43"/>
    <mergeCell ref="AX20:AZ20"/>
    <mergeCell ref="BA20:BC20"/>
    <mergeCell ref="AZ24:BC24"/>
    <mergeCell ref="AX32:AZ32"/>
    <mergeCell ref="BA32:BC32"/>
    <mergeCell ref="C24:F24"/>
    <mergeCell ref="J24:M24"/>
    <mergeCell ref="C38:F38"/>
    <mergeCell ref="C50:F50"/>
    <mergeCell ref="A20:C20"/>
    <mergeCell ref="D20:F20"/>
    <mergeCell ref="A32:C32"/>
    <mergeCell ref="D32:F32"/>
    <mergeCell ref="A46:C46"/>
    <mergeCell ref="D46:F46"/>
    <mergeCell ref="AC20:AE20"/>
    <mergeCell ref="AE24:AH24"/>
    <mergeCell ref="AC32:AE32"/>
    <mergeCell ref="AF32:AH32"/>
    <mergeCell ref="AE38:AH38"/>
    <mergeCell ref="AC46:AE46"/>
    <mergeCell ref="AF46:AH46"/>
    <mergeCell ref="AE50:AH50"/>
    <mergeCell ref="Q50:T50"/>
    <mergeCell ref="V20:X20"/>
    <mergeCell ref="Y20:AA20"/>
    <mergeCell ref="X24:AA24"/>
    <mergeCell ref="V32:X32"/>
    <mergeCell ref="Y32:AA32"/>
    <mergeCell ref="X38:AA38"/>
    <mergeCell ref="V46:X46"/>
    <mergeCell ref="C25:D25"/>
    <mergeCell ref="AJ20:AL20"/>
    <mergeCell ref="AM20:AO20"/>
    <mergeCell ref="AL24:AO24"/>
    <mergeCell ref="AJ32:AL32"/>
    <mergeCell ref="AM32:AO32"/>
    <mergeCell ref="AL38:AO38"/>
    <mergeCell ref="AJ46:AL46"/>
    <mergeCell ref="AM46:AO46"/>
    <mergeCell ref="AL50:AO50"/>
    <mergeCell ref="AQ20:AS20"/>
    <mergeCell ref="AT20:AV20"/>
    <mergeCell ref="AS24:AV24"/>
    <mergeCell ref="AQ32:AS32"/>
    <mergeCell ref="AT32:AV32"/>
    <mergeCell ref="AS38:AV38"/>
    <mergeCell ref="AQ46:AS46"/>
    <mergeCell ref="AT46:AV46"/>
    <mergeCell ref="AS50:AV50"/>
    <mergeCell ref="AJ42:AO42"/>
    <mergeCell ref="AQ42:AV42"/>
    <mergeCell ref="AQ30:AV30"/>
    <mergeCell ref="AL49:AN49"/>
    <mergeCell ref="AQ49:AR49"/>
    <mergeCell ref="AS49:AU49"/>
    <mergeCell ref="BL20:BN20"/>
    <mergeCell ref="BO20:BQ20"/>
    <mergeCell ref="BN24:BQ24"/>
    <mergeCell ref="BL32:BN32"/>
    <mergeCell ref="BO32:BQ32"/>
    <mergeCell ref="BN38:BQ38"/>
    <mergeCell ref="BL46:BN46"/>
    <mergeCell ref="BO46:BQ46"/>
    <mergeCell ref="BN50:BQ50"/>
    <mergeCell ref="BS20:BU20"/>
    <mergeCell ref="BV20:BX20"/>
    <mergeCell ref="BU24:BX24"/>
    <mergeCell ref="BS32:BU32"/>
    <mergeCell ref="BV32:BX32"/>
    <mergeCell ref="BU38:BX38"/>
    <mergeCell ref="BS46:BU46"/>
    <mergeCell ref="BV46:BX46"/>
    <mergeCell ref="BU50:BX50"/>
    <mergeCell ref="BL42:BQ42"/>
    <mergeCell ref="BS42:BX42"/>
    <mergeCell ref="BS40:BX40"/>
    <mergeCell ref="BL43:BQ43"/>
    <mergeCell ref="BS43:BX43"/>
    <mergeCell ref="BZ20:CB20"/>
    <mergeCell ref="CC20:CE20"/>
    <mergeCell ref="CB24:CE24"/>
    <mergeCell ref="BZ32:CB32"/>
    <mergeCell ref="CC32:CE32"/>
    <mergeCell ref="CB38:CE38"/>
    <mergeCell ref="BZ46:CB46"/>
    <mergeCell ref="CC46:CE46"/>
    <mergeCell ref="CB50:CE50"/>
    <mergeCell ref="CN20:CP20"/>
    <mergeCell ref="CQ20:CS20"/>
    <mergeCell ref="CP24:CS24"/>
    <mergeCell ref="CN32:CP32"/>
    <mergeCell ref="CQ32:CS32"/>
    <mergeCell ref="CP38:CS38"/>
    <mergeCell ref="CN46:CP46"/>
    <mergeCell ref="CQ46:CS46"/>
    <mergeCell ref="CP50:CS50"/>
    <mergeCell ref="CG20:CI20"/>
    <mergeCell ref="CJ20:CL20"/>
    <mergeCell ref="CI24:CL24"/>
    <mergeCell ref="CG32:CI32"/>
    <mergeCell ref="CJ32:CL32"/>
    <mergeCell ref="CI38:CL38"/>
    <mergeCell ref="CG46:CI46"/>
    <mergeCell ref="CJ46:CL46"/>
    <mergeCell ref="CI50:CL50"/>
    <mergeCell ref="CP39:CQ39"/>
    <mergeCell ref="BZ42:CE42"/>
    <mergeCell ref="CO33:CS33"/>
    <mergeCell ref="CN38:CO38"/>
    <mergeCell ref="CN41:CS41"/>
    <mergeCell ref="CW24:CZ24"/>
    <mergeCell ref="CU32:CW32"/>
    <mergeCell ref="CX32:CZ32"/>
    <mergeCell ref="CW38:CZ38"/>
    <mergeCell ref="CU46:CW46"/>
    <mergeCell ref="CX46:CZ46"/>
    <mergeCell ref="CW50:CZ50"/>
    <mergeCell ref="DB20:DD20"/>
    <mergeCell ref="DE20:DG20"/>
    <mergeCell ref="DD24:DG24"/>
    <mergeCell ref="DB32:DD32"/>
    <mergeCell ref="DE32:DG32"/>
    <mergeCell ref="DD38:DG38"/>
    <mergeCell ref="DB46:DD46"/>
    <mergeCell ref="DE46:DG46"/>
    <mergeCell ref="DD50:DG50"/>
    <mergeCell ref="H20:J20"/>
    <mergeCell ref="K20:M20"/>
    <mergeCell ref="H32:J32"/>
    <mergeCell ref="K32:M32"/>
    <mergeCell ref="J38:M38"/>
    <mergeCell ref="H46:J46"/>
    <mergeCell ref="K46:M46"/>
    <mergeCell ref="J50:M50"/>
    <mergeCell ref="O20:Q20"/>
    <mergeCell ref="R20:T20"/>
    <mergeCell ref="Q24:T24"/>
    <mergeCell ref="O32:Q32"/>
    <mergeCell ref="R32:T32"/>
    <mergeCell ref="Q38:T38"/>
    <mergeCell ref="O46:Q46"/>
    <mergeCell ref="R46:T46"/>
  </mergeCells>
  <printOptions horizontalCentered="1" verticalCentered="1"/>
  <pageMargins left="0" right="0" top="0" bottom="0" header="0" footer="0"/>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O53"/>
  <sheetViews>
    <sheetView workbookViewId="0">
      <selection activeCell="A2" sqref="A2"/>
    </sheetView>
  </sheetViews>
  <sheetFormatPr defaultColWidth="9.140625" defaultRowHeight="15" x14ac:dyDescent="0.25"/>
  <cols>
    <col min="1" max="3" width="25.7109375" style="13" customWidth="1"/>
    <col min="4" max="7" width="9.140625" style="13"/>
    <col min="8" max="8" width="15.7109375" style="13" customWidth="1"/>
    <col min="9" max="9" width="9.140625" style="13"/>
    <col min="10" max="15" width="12.5703125" style="13" customWidth="1"/>
    <col min="16" max="16384" width="9.140625" style="13"/>
  </cols>
  <sheetData>
    <row r="1" spans="1:15" ht="15.75" thickBot="1" x14ac:dyDescent="0.3">
      <c r="A1" s="18" t="s">
        <v>88</v>
      </c>
      <c r="B1" s="18" t="s">
        <v>89</v>
      </c>
      <c r="C1" s="18" t="s">
        <v>31</v>
      </c>
      <c r="E1" s="171" t="s">
        <v>12</v>
      </c>
      <c r="F1" s="172"/>
      <c r="H1" s="16" t="s">
        <v>0</v>
      </c>
      <c r="J1" s="148" t="s">
        <v>10</v>
      </c>
      <c r="K1" s="149"/>
      <c r="L1" s="149"/>
      <c r="M1" s="149"/>
      <c r="N1" s="149"/>
      <c r="O1" s="150"/>
    </row>
    <row r="2" spans="1:15" ht="15.75" thickBot="1" x14ac:dyDescent="0.3">
      <c r="A2" s="14" t="s">
        <v>37</v>
      </c>
      <c r="B2" s="24" t="s">
        <v>94</v>
      </c>
      <c r="C2" s="14" t="s">
        <v>98</v>
      </c>
      <c r="E2" s="169" t="s">
        <v>150</v>
      </c>
      <c r="F2" s="170"/>
      <c r="H2" s="17"/>
      <c r="J2" s="151" t="s">
        <v>123</v>
      </c>
      <c r="K2" s="152"/>
      <c r="L2" s="152"/>
      <c r="M2" s="152"/>
      <c r="N2" s="152"/>
      <c r="O2" s="153"/>
    </row>
    <row r="3" spans="1:15" x14ac:dyDescent="0.25">
      <c r="A3" s="15" t="s">
        <v>38</v>
      </c>
      <c r="B3" s="25" t="s">
        <v>95</v>
      </c>
      <c r="C3" s="15" t="s">
        <v>99</v>
      </c>
      <c r="J3" s="154"/>
      <c r="K3" s="155"/>
      <c r="L3" s="155"/>
      <c r="M3" s="155"/>
      <c r="N3" s="155"/>
      <c r="O3" s="156"/>
    </row>
    <row r="4" spans="1:15" ht="15.75" thickBot="1" x14ac:dyDescent="0.3">
      <c r="A4" s="15" t="s">
        <v>39</v>
      </c>
      <c r="B4" s="25" t="s">
        <v>90</v>
      </c>
      <c r="C4" s="15" t="s">
        <v>32</v>
      </c>
      <c r="J4" s="157"/>
      <c r="K4" s="158"/>
      <c r="L4" s="158"/>
      <c r="M4" s="158"/>
      <c r="N4" s="158"/>
      <c r="O4" s="159"/>
    </row>
    <row r="5" spans="1:15" ht="15.75" thickBot="1" x14ac:dyDescent="0.3">
      <c r="A5" s="15" t="s">
        <v>40</v>
      </c>
      <c r="B5" s="25" t="s">
        <v>96</v>
      </c>
      <c r="C5" s="15"/>
    </row>
    <row r="6" spans="1:15" ht="15.75" thickBot="1" x14ac:dyDescent="0.3">
      <c r="A6" s="44" t="s">
        <v>41</v>
      </c>
      <c r="B6" s="46" t="s">
        <v>97</v>
      </c>
      <c r="C6" s="44"/>
      <c r="J6" s="160" t="s">
        <v>11</v>
      </c>
      <c r="K6" s="161"/>
      <c r="L6" s="161"/>
      <c r="M6" s="161"/>
      <c r="N6" s="161"/>
      <c r="O6" s="162"/>
    </row>
    <row r="7" spans="1:15" ht="15.75" thickBot="1" x14ac:dyDescent="0.3">
      <c r="A7" s="15" t="s">
        <v>42</v>
      </c>
      <c r="B7" s="25"/>
      <c r="C7" s="18" t="s">
        <v>33</v>
      </c>
      <c r="J7" s="163" t="s">
        <v>156</v>
      </c>
      <c r="K7" s="164"/>
      <c r="L7" s="164"/>
      <c r="M7" s="164"/>
      <c r="N7" s="164"/>
      <c r="O7" s="165"/>
    </row>
    <row r="8" spans="1:15" x14ac:dyDescent="0.25">
      <c r="A8" s="15" t="s">
        <v>43</v>
      </c>
      <c r="B8" s="25"/>
      <c r="C8" s="14" t="s">
        <v>100</v>
      </c>
      <c r="J8" s="163"/>
      <c r="K8" s="164"/>
      <c r="L8" s="164"/>
      <c r="M8" s="164"/>
      <c r="N8" s="164"/>
      <c r="O8" s="165"/>
    </row>
    <row r="9" spans="1:15" ht="15" customHeight="1" x14ac:dyDescent="0.25">
      <c r="A9" s="15" t="s">
        <v>44</v>
      </c>
      <c r="B9" s="25"/>
      <c r="C9" s="15" t="s">
        <v>101</v>
      </c>
      <c r="J9" s="163"/>
      <c r="K9" s="164"/>
      <c r="L9" s="164"/>
      <c r="M9" s="164"/>
      <c r="N9" s="164"/>
      <c r="O9" s="165"/>
    </row>
    <row r="10" spans="1:15" x14ac:dyDescent="0.25">
      <c r="A10" s="15" t="s">
        <v>45</v>
      </c>
      <c r="B10" s="25"/>
      <c r="C10" s="15" t="s">
        <v>102</v>
      </c>
      <c r="J10" s="163"/>
      <c r="K10" s="164"/>
      <c r="L10" s="164"/>
      <c r="M10" s="164"/>
      <c r="N10" s="164"/>
      <c r="O10" s="165"/>
    </row>
    <row r="11" spans="1:15" ht="15.75" thickBot="1" x14ac:dyDescent="0.3">
      <c r="A11" s="44" t="s">
        <v>25</v>
      </c>
      <c r="B11" s="46"/>
      <c r="C11" s="44" t="s">
        <v>103</v>
      </c>
      <c r="J11" s="163"/>
      <c r="K11" s="164"/>
      <c r="L11" s="164"/>
      <c r="M11" s="164"/>
      <c r="N11" s="164"/>
      <c r="O11" s="165"/>
    </row>
    <row r="12" spans="1:15" ht="15.75" thickBot="1" x14ac:dyDescent="0.3">
      <c r="A12" s="44" t="s">
        <v>46</v>
      </c>
      <c r="B12" s="18" t="s">
        <v>133</v>
      </c>
      <c r="C12" s="44" t="s">
        <v>34</v>
      </c>
      <c r="J12" s="163"/>
      <c r="K12" s="164"/>
      <c r="L12" s="164"/>
      <c r="M12" s="164"/>
      <c r="N12" s="164"/>
      <c r="O12" s="165"/>
    </row>
    <row r="13" spans="1:15" x14ac:dyDescent="0.25">
      <c r="A13" s="44" t="s">
        <v>47</v>
      </c>
      <c r="B13" s="24" t="s">
        <v>127</v>
      </c>
      <c r="C13" s="44" t="s">
        <v>104</v>
      </c>
      <c r="J13" s="163"/>
      <c r="K13" s="164"/>
      <c r="L13" s="164"/>
      <c r="M13" s="164"/>
      <c r="N13" s="164"/>
      <c r="O13" s="165"/>
    </row>
    <row r="14" spans="1:15" x14ac:dyDescent="0.25">
      <c r="A14" s="44" t="s">
        <v>48</v>
      </c>
      <c r="B14" s="25" t="s">
        <v>93</v>
      </c>
      <c r="C14" s="44" t="s">
        <v>105</v>
      </c>
      <c r="J14" s="163"/>
      <c r="K14" s="164"/>
      <c r="L14" s="164"/>
      <c r="M14" s="164"/>
      <c r="N14" s="164"/>
      <c r="O14" s="165"/>
    </row>
    <row r="15" spans="1:15" x14ac:dyDescent="0.25">
      <c r="A15" s="15" t="s">
        <v>49</v>
      </c>
      <c r="B15" s="46" t="s">
        <v>128</v>
      </c>
      <c r="C15" s="15"/>
      <c r="J15" s="163"/>
      <c r="K15" s="164"/>
      <c r="L15" s="164"/>
      <c r="M15" s="164"/>
      <c r="N15" s="164"/>
      <c r="O15" s="165"/>
    </row>
    <row r="16" spans="1:15" x14ac:dyDescent="0.25">
      <c r="A16" s="15" t="s">
        <v>50</v>
      </c>
      <c r="B16" s="25" t="s">
        <v>130</v>
      </c>
      <c r="C16" s="15"/>
      <c r="J16" s="163"/>
      <c r="K16" s="164"/>
      <c r="L16" s="164"/>
      <c r="M16" s="164"/>
      <c r="N16" s="164"/>
      <c r="O16" s="165"/>
    </row>
    <row r="17" spans="1:15" ht="15.75" thickBot="1" x14ac:dyDescent="0.3">
      <c r="A17" s="44" t="s">
        <v>51</v>
      </c>
      <c r="B17" s="25" t="s">
        <v>126</v>
      </c>
      <c r="C17" s="45"/>
      <c r="J17" s="163"/>
      <c r="K17" s="164"/>
      <c r="L17" s="164"/>
      <c r="M17" s="164"/>
      <c r="N17" s="164"/>
      <c r="O17" s="165"/>
    </row>
    <row r="18" spans="1:15" x14ac:dyDescent="0.25">
      <c r="A18" s="44" t="s">
        <v>52</v>
      </c>
      <c r="B18" s="25" t="s">
        <v>29</v>
      </c>
      <c r="J18" s="163"/>
      <c r="K18" s="164"/>
      <c r="L18" s="164"/>
      <c r="M18" s="164"/>
      <c r="N18" s="164"/>
      <c r="O18" s="165"/>
    </row>
    <row r="19" spans="1:15" x14ac:dyDescent="0.25">
      <c r="A19" s="44" t="s">
        <v>53</v>
      </c>
      <c r="B19" s="25" t="s">
        <v>131</v>
      </c>
      <c r="J19" s="163"/>
      <c r="K19" s="164"/>
      <c r="L19" s="164"/>
      <c r="M19" s="164"/>
      <c r="N19" s="164"/>
      <c r="O19" s="165"/>
    </row>
    <row r="20" spans="1:15" x14ac:dyDescent="0.25">
      <c r="A20" s="44" t="s">
        <v>54</v>
      </c>
      <c r="B20" s="25" t="s">
        <v>129</v>
      </c>
      <c r="J20" s="163"/>
      <c r="K20" s="164"/>
      <c r="L20" s="164"/>
      <c r="M20" s="164"/>
      <c r="N20" s="164"/>
      <c r="O20" s="165"/>
    </row>
    <row r="21" spans="1:15" x14ac:dyDescent="0.25">
      <c r="A21" s="44" t="s">
        <v>55</v>
      </c>
      <c r="B21" s="46" t="s">
        <v>132</v>
      </c>
      <c r="J21" s="163"/>
      <c r="K21" s="164"/>
      <c r="L21" s="164"/>
      <c r="M21" s="164"/>
      <c r="N21" s="164"/>
      <c r="O21" s="165"/>
    </row>
    <row r="22" spans="1:15" ht="15.75" thickBot="1" x14ac:dyDescent="0.3">
      <c r="A22" s="44" t="s">
        <v>56</v>
      </c>
      <c r="B22" s="25"/>
      <c r="J22" s="163"/>
      <c r="K22" s="164"/>
      <c r="L22" s="164"/>
      <c r="M22" s="164"/>
      <c r="N22" s="164"/>
      <c r="O22" s="165"/>
    </row>
    <row r="23" spans="1:15" ht="15.75" thickBot="1" x14ac:dyDescent="0.3">
      <c r="A23" s="44" t="s">
        <v>57</v>
      </c>
      <c r="B23" s="26" t="s">
        <v>106</v>
      </c>
      <c r="J23" s="163"/>
      <c r="K23" s="164"/>
      <c r="L23" s="164"/>
      <c r="M23" s="164"/>
      <c r="N23" s="164"/>
      <c r="O23" s="165"/>
    </row>
    <row r="24" spans="1:15" x14ac:dyDescent="0.25">
      <c r="A24" s="44" t="s">
        <v>58</v>
      </c>
      <c r="B24" s="47" t="s">
        <v>92</v>
      </c>
      <c r="J24" s="163"/>
      <c r="K24" s="164"/>
      <c r="L24" s="164"/>
      <c r="M24" s="164"/>
      <c r="N24" s="164"/>
      <c r="O24" s="165"/>
    </row>
    <row r="25" spans="1:15" x14ac:dyDescent="0.25">
      <c r="A25" s="44" t="s">
        <v>59</v>
      </c>
      <c r="B25" s="46" t="s">
        <v>107</v>
      </c>
      <c r="J25" s="163"/>
      <c r="K25" s="164"/>
      <c r="L25" s="164"/>
      <c r="M25" s="164"/>
      <c r="N25" s="164"/>
      <c r="O25" s="165"/>
    </row>
    <row r="26" spans="1:15" x14ac:dyDescent="0.25">
      <c r="A26" s="44" t="s">
        <v>60</v>
      </c>
      <c r="B26" s="25" t="s">
        <v>108</v>
      </c>
      <c r="J26" s="163"/>
      <c r="K26" s="164"/>
      <c r="L26" s="164"/>
      <c r="M26" s="164"/>
      <c r="N26" s="164"/>
      <c r="O26" s="165"/>
    </row>
    <row r="27" spans="1:15" x14ac:dyDescent="0.25">
      <c r="A27" s="44" t="s">
        <v>61</v>
      </c>
      <c r="B27" s="25" t="s">
        <v>109</v>
      </c>
      <c r="J27" s="163"/>
      <c r="K27" s="164"/>
      <c r="L27" s="164"/>
      <c r="M27" s="164"/>
      <c r="N27" s="164"/>
      <c r="O27" s="165"/>
    </row>
    <row r="28" spans="1:15" x14ac:dyDescent="0.25">
      <c r="A28" s="44" t="s">
        <v>62</v>
      </c>
      <c r="B28" s="46"/>
      <c r="J28" s="163"/>
      <c r="K28" s="164"/>
      <c r="L28" s="164"/>
      <c r="M28" s="164"/>
      <c r="N28" s="164"/>
      <c r="O28" s="165"/>
    </row>
    <row r="29" spans="1:15" x14ac:dyDescent="0.25">
      <c r="A29" s="44" t="s">
        <v>63</v>
      </c>
      <c r="B29" s="46"/>
      <c r="J29" s="163"/>
      <c r="K29" s="164"/>
      <c r="L29" s="164"/>
      <c r="M29" s="164"/>
      <c r="N29" s="164"/>
      <c r="O29" s="165"/>
    </row>
    <row r="30" spans="1:15" x14ac:dyDescent="0.25">
      <c r="A30" s="44" t="s">
        <v>64</v>
      </c>
      <c r="B30" s="46"/>
      <c r="J30" s="163"/>
      <c r="K30" s="164"/>
      <c r="L30" s="164"/>
      <c r="M30" s="164"/>
      <c r="N30" s="164"/>
      <c r="O30" s="165"/>
    </row>
    <row r="31" spans="1:15" x14ac:dyDescent="0.25">
      <c r="A31" s="44" t="s">
        <v>65</v>
      </c>
      <c r="B31" s="46"/>
      <c r="J31" s="163"/>
      <c r="K31" s="164"/>
      <c r="L31" s="164"/>
      <c r="M31" s="164"/>
      <c r="N31" s="164"/>
      <c r="O31" s="165"/>
    </row>
    <row r="32" spans="1:15" x14ac:dyDescent="0.25">
      <c r="A32" s="44" t="s">
        <v>66</v>
      </c>
      <c r="B32" s="46"/>
      <c r="J32" s="163"/>
      <c r="K32" s="164"/>
      <c r="L32" s="164"/>
      <c r="M32" s="164"/>
      <c r="N32" s="164"/>
      <c r="O32" s="165"/>
    </row>
    <row r="33" spans="1:15" ht="15.75" thickBot="1" x14ac:dyDescent="0.3">
      <c r="A33" s="44" t="s">
        <v>67</v>
      </c>
      <c r="B33" s="48"/>
      <c r="J33" s="163"/>
      <c r="K33" s="164"/>
      <c r="L33" s="164"/>
      <c r="M33" s="164"/>
      <c r="N33" s="164"/>
      <c r="O33" s="165"/>
    </row>
    <row r="34" spans="1:15" ht="15.75" thickBot="1" x14ac:dyDescent="0.3">
      <c r="A34" s="44" t="s">
        <v>68</v>
      </c>
      <c r="B34" s="26" t="s">
        <v>27</v>
      </c>
      <c r="J34" s="166"/>
      <c r="K34" s="167"/>
      <c r="L34" s="167"/>
      <c r="M34" s="167"/>
      <c r="N34" s="167"/>
      <c r="O34" s="168"/>
    </row>
    <row r="35" spans="1:15" x14ac:dyDescent="0.25">
      <c r="A35" s="44" t="s">
        <v>69</v>
      </c>
      <c r="B35" s="49">
        <v>25</v>
      </c>
    </row>
    <row r="36" spans="1:15" x14ac:dyDescent="0.25">
      <c r="A36" s="44" t="s">
        <v>70</v>
      </c>
      <c r="B36" s="44">
        <v>50</v>
      </c>
    </row>
    <row r="37" spans="1:15" x14ac:dyDescent="0.25">
      <c r="A37" s="44" t="s">
        <v>71</v>
      </c>
      <c r="B37" s="44">
        <v>75</v>
      </c>
    </row>
    <row r="38" spans="1:15" x14ac:dyDescent="0.25">
      <c r="A38" s="44" t="s">
        <v>72</v>
      </c>
      <c r="B38" s="44"/>
    </row>
    <row r="39" spans="1:15" ht="15.75" thickBot="1" x14ac:dyDescent="0.3">
      <c r="A39" s="44" t="s">
        <v>73</v>
      </c>
      <c r="B39" s="45"/>
    </row>
    <row r="40" spans="1:15" ht="15.75" thickBot="1" x14ac:dyDescent="0.3">
      <c r="A40" s="44" t="s">
        <v>74</v>
      </c>
      <c r="B40" s="26" t="s">
        <v>110</v>
      </c>
    </row>
    <row r="41" spans="1:15" x14ac:dyDescent="0.25">
      <c r="A41" s="44" t="s">
        <v>75</v>
      </c>
      <c r="B41" s="49" t="s">
        <v>111</v>
      </c>
    </row>
    <row r="42" spans="1:15" x14ac:dyDescent="0.25">
      <c r="A42" s="44" t="s">
        <v>76</v>
      </c>
      <c r="B42" s="44" t="s">
        <v>112</v>
      </c>
    </row>
    <row r="43" spans="1:15" x14ac:dyDescent="0.25">
      <c r="A43" s="44" t="s">
        <v>77</v>
      </c>
      <c r="B43" s="15" t="s">
        <v>113</v>
      </c>
    </row>
    <row r="44" spans="1:15" x14ac:dyDescent="0.25">
      <c r="A44" s="44" t="s">
        <v>78</v>
      </c>
      <c r="B44" s="15" t="s">
        <v>114</v>
      </c>
    </row>
    <row r="45" spans="1:15" x14ac:dyDescent="0.25">
      <c r="A45" s="44" t="s">
        <v>79</v>
      </c>
      <c r="B45" s="44" t="s">
        <v>115</v>
      </c>
    </row>
    <row r="46" spans="1:15" x14ac:dyDescent="0.25">
      <c r="A46" s="44" t="s">
        <v>80</v>
      </c>
      <c r="B46" s="44" t="s">
        <v>116</v>
      </c>
    </row>
    <row r="47" spans="1:15" x14ac:dyDescent="0.25">
      <c r="A47" s="44" t="s">
        <v>81</v>
      </c>
      <c r="B47" s="44" t="s">
        <v>117</v>
      </c>
    </row>
    <row r="48" spans="1:15" ht="15.75" thickBot="1" x14ac:dyDescent="0.3">
      <c r="A48" s="44" t="s">
        <v>82</v>
      </c>
      <c r="B48" s="45" t="s">
        <v>118</v>
      </c>
    </row>
    <row r="49" spans="1:1" x14ac:dyDescent="0.25">
      <c r="A49" s="44" t="s">
        <v>83</v>
      </c>
    </row>
    <row r="50" spans="1:1" x14ac:dyDescent="0.25">
      <c r="A50" s="44" t="s">
        <v>84</v>
      </c>
    </row>
    <row r="51" spans="1:1" x14ac:dyDescent="0.25">
      <c r="A51" s="44" t="s">
        <v>85</v>
      </c>
    </row>
    <row r="52" spans="1:1" x14ac:dyDescent="0.25">
      <c r="A52" s="44" t="s">
        <v>86</v>
      </c>
    </row>
    <row r="53" spans="1:1" ht="15.75" thickBot="1" x14ac:dyDescent="0.3">
      <c r="A53" s="45" t="s">
        <v>87</v>
      </c>
    </row>
  </sheetData>
  <sheetProtection sheet="1" objects="1" scenarios="1" selectLockedCells="1" sort="0" autoFilter="0"/>
  <sortState xmlns:xlrd2="http://schemas.microsoft.com/office/spreadsheetml/2017/richdata2" ref="B13:B22">
    <sortCondition ref="B13:B22"/>
  </sortState>
  <mergeCells count="6">
    <mergeCell ref="J1:O1"/>
    <mergeCell ref="J2:O4"/>
    <mergeCell ref="J6:O6"/>
    <mergeCell ref="J7:O34"/>
    <mergeCell ref="E2:F2"/>
    <mergeCell ref="E1:F1"/>
  </mergeCells>
  <pageMargins left="0.7" right="0.7" top="0.75" bottom="0.75" header="0.3" footer="0.3"/>
  <pageSetup paperSize="11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_Password">
                <anchor moveWithCells="1" sizeWithCells="1">
                  <from>
                    <xdr:col>7</xdr:col>
                    <xdr:colOff>95250</xdr:colOff>
                    <xdr:row>3</xdr:row>
                    <xdr:rowOff>76200</xdr:rowOff>
                  </from>
                  <to>
                    <xdr:col>7</xdr:col>
                    <xdr:colOff>933450</xdr:colOff>
                    <xdr:row>5</xdr:row>
                    <xdr:rowOff>104775</xdr:rowOff>
                  </to>
                </anchor>
              </controlPr>
            </control>
          </mc:Choice>
        </mc:AlternateContent>
        <mc:AlternateContent xmlns:mc="http://schemas.openxmlformats.org/markup-compatibility/2006">
          <mc:Choice Requires="x14">
            <control shapeId="4099" r:id="rId5" name="ExtDevMd">
              <controlPr defaultSize="0" print="0" autoFill="0" autoPict="0" macro="[0]!Toggle_DevMode">
                <anchor moveWithCells="1" sizeWithCells="1">
                  <from>
                    <xdr:col>15</xdr:col>
                    <xdr:colOff>190500</xdr:colOff>
                    <xdr:row>1</xdr:row>
                    <xdr:rowOff>76200</xdr:rowOff>
                  </from>
                  <to>
                    <xdr:col>16</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Collins Aerospace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keywords>Unrestricted</cp:keywords>
  <cp:lastModifiedBy>Jeffreys, Duncan A (US)</cp:lastModifiedBy>
  <cp:lastPrinted>2023-11-29T16:08:58Z</cp:lastPrinted>
  <dcterms:created xsi:type="dcterms:W3CDTF">2021-03-09T19:36:23Z</dcterms:created>
  <dcterms:modified xsi:type="dcterms:W3CDTF">2023-11-29T19:13:01Z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447dd6a-a4a1-440b-a6a3-9124ef1ee017_Enabled">
    <vt:lpwstr>true</vt:lpwstr>
  </property>
  <property fmtid="{D5CDD505-2E9C-101B-9397-08002B2CF9AE}" pid="3" name="MSIP_Label_4447dd6a-a4a1-440b-a6a3-9124ef1ee017_SetDate">
    <vt:lpwstr>2021-11-08T13:31:17Z</vt:lpwstr>
  </property>
  <property fmtid="{D5CDD505-2E9C-101B-9397-08002B2CF9AE}" pid="4" name="MSIP_Label_4447dd6a-a4a1-440b-a6a3-9124ef1ee017_Method">
    <vt:lpwstr>Privileged</vt:lpwstr>
  </property>
  <property fmtid="{D5CDD505-2E9C-101B-9397-08002B2CF9AE}" pid="5" name="MSIP_Label_4447dd6a-a4a1-440b-a6a3-9124ef1ee017_Name">
    <vt:lpwstr>NO TECH DATA</vt:lpwstr>
  </property>
  <property fmtid="{D5CDD505-2E9C-101B-9397-08002B2CF9AE}" pid="6" name="MSIP_Label_4447dd6a-a4a1-440b-a6a3-9124ef1ee017_SiteId">
    <vt:lpwstr>7a18110d-ef9b-4274-acef-e62ab0fe28ed</vt:lpwstr>
  </property>
  <property fmtid="{D5CDD505-2E9C-101B-9397-08002B2CF9AE}" pid="7" name="MSIP_Label_4447dd6a-a4a1-440b-a6a3-9124ef1ee017_ActionId">
    <vt:lpwstr>d38680a0-e924-4eb1-8250-655cfa58404d</vt:lpwstr>
  </property>
  <property fmtid="{D5CDD505-2E9C-101B-9397-08002B2CF9AE}" pid="8" name="MSIP_Label_4447dd6a-a4a1-440b-a6a3-9124ef1ee017_ContentBits">
    <vt:lpwstr>0</vt:lpwstr>
  </property>
  <property fmtid="{D5CDD505-2E9C-101B-9397-08002B2CF9AE}" pid="9" name="LM SIP Document Sensitivity">
    <vt:lpwstr/>
  </property>
  <property fmtid="{D5CDD505-2E9C-101B-9397-08002B2CF9AE}" pid="10" name="Document Author">
    <vt:lpwstr>US\e439271</vt:lpwstr>
  </property>
  <property fmtid="{D5CDD505-2E9C-101B-9397-08002B2CF9AE}" pid="11" name="Document Sensitivity">
    <vt:lpwstr>1</vt:lpwstr>
  </property>
  <property fmtid="{D5CDD505-2E9C-101B-9397-08002B2CF9AE}" pid="12" name="ThirdParty">
    <vt:lpwstr/>
  </property>
  <property fmtid="{D5CDD505-2E9C-101B-9397-08002B2CF9AE}" pid="13" name="OCI Restriction">
    <vt:bool>false</vt:bool>
  </property>
  <property fmtid="{D5CDD505-2E9C-101B-9397-08002B2CF9AE}" pid="14" name="OCI Additional Info">
    <vt:lpwstr/>
  </property>
  <property fmtid="{D5CDD505-2E9C-101B-9397-08002B2CF9AE}" pid="15" name="Allow Header Overwrite">
    <vt:bool>false</vt:bool>
  </property>
  <property fmtid="{D5CDD505-2E9C-101B-9397-08002B2CF9AE}" pid="16" name="Allow Footer Overwrite">
    <vt:bool>false</vt:bool>
  </property>
  <property fmtid="{D5CDD505-2E9C-101B-9397-08002B2CF9AE}" pid="17" name="Multiple Selected">
    <vt:lpwstr>-1</vt:lpwstr>
  </property>
  <property fmtid="{D5CDD505-2E9C-101B-9397-08002B2CF9AE}" pid="18" name="SIPLongWording">
    <vt:lpwstr>_x000d_
_x000d_
</vt:lpwstr>
  </property>
  <property fmtid="{D5CDD505-2E9C-101B-9397-08002B2CF9AE}" pid="19" name="ExpCountry">
    <vt:lpwstr/>
  </property>
  <property fmtid="{D5CDD505-2E9C-101B-9397-08002B2CF9AE}" pid="20" name="SecurityClassification">
    <vt:lpwstr/>
  </property>
  <property fmtid="{D5CDD505-2E9C-101B-9397-08002B2CF9AE}" pid="21" name="TextBoxAndDropdownValues">
    <vt:lpwstr/>
  </property>
  <property fmtid="{D5CDD505-2E9C-101B-9397-08002B2CF9AE}" pid="22" name="MSIP_Label_502bc7c3-f152-4da1-98bd-f7a1bebdf752_Enabled">
    <vt:lpwstr>true</vt:lpwstr>
  </property>
  <property fmtid="{D5CDD505-2E9C-101B-9397-08002B2CF9AE}" pid="23" name="MSIP_Label_502bc7c3-f152-4da1-98bd-f7a1bebdf752_SetDate">
    <vt:lpwstr>2023-11-28T19:45:32Z</vt:lpwstr>
  </property>
  <property fmtid="{D5CDD505-2E9C-101B-9397-08002B2CF9AE}" pid="24" name="MSIP_Label_502bc7c3-f152-4da1-98bd-f7a1bebdf752_Method">
    <vt:lpwstr>Privileged</vt:lpwstr>
  </property>
  <property fmtid="{D5CDD505-2E9C-101B-9397-08002B2CF9AE}" pid="25" name="MSIP_Label_502bc7c3-f152-4da1-98bd-f7a1bebdf752_Name">
    <vt:lpwstr>Unrestricted</vt:lpwstr>
  </property>
  <property fmtid="{D5CDD505-2E9C-101B-9397-08002B2CF9AE}" pid="26" name="MSIP_Label_502bc7c3-f152-4da1-98bd-f7a1bebdf752_SiteId">
    <vt:lpwstr>b18f006c-b0fc-467d-b23a-a35b5695b5dc</vt:lpwstr>
  </property>
  <property fmtid="{D5CDD505-2E9C-101B-9397-08002B2CF9AE}" pid="27" name="MSIP_Label_502bc7c3-f152-4da1-98bd-f7a1bebdf752_ActionId">
    <vt:lpwstr>cc946087-1e93-48d7-b217-42de5de80f09</vt:lpwstr>
  </property>
  <property fmtid="{D5CDD505-2E9C-101B-9397-08002B2CF9AE}" pid="28" name="MSIP_Label_502bc7c3-f152-4da1-98bd-f7a1bebdf752_ContentBits">
    <vt:lpwstr>0</vt:lpwstr>
  </property>
</Properties>
</file>