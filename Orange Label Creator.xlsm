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Users\e439271\Desktop\"/>
    </mc:Choice>
  </mc:AlternateContent>
  <xr:revisionPtr revIDLastSave="0" documentId="13_ncr:1_{A551F077-6B18-410A-ABFF-7E7CB33147E9}" xr6:coauthVersionLast="47" xr6:coauthVersionMax="47" xr10:uidLastSave="{00000000-0000-0000-0000-000000000000}"/>
  <workbookProtection lockStructure="1"/>
  <bookViews>
    <workbookView xWindow="28680" yWindow="-120" windowWidth="29040" windowHeight="15840" xr2:uid="{00000000-000D-0000-FFFF-FFFF00000000}"/>
  </bookViews>
  <sheets>
    <sheet name="Welcome" sheetId="3" r:id="rId1"/>
    <sheet name="Values" sheetId="1" state="veryHidden" r:id="rId2"/>
    <sheet name="Labels" sheetId="2" state="veryHidden" r:id="rId3"/>
    <sheet name="DevMode" sheetId="4" state="veryHidden" r:id="rId4"/>
  </sheets>
  <functionGroups builtInGroupCount="19"/>
  <definedNames>
    <definedName name="Classification" comment="Classification Dropdown list used in Values sheet.">OFFSET(DevMode!$B$2,0,0,COUNTIF(DevMode!$B$2:$B$11,"&lt;&gt;"))</definedName>
    <definedName name="ClassificationAddendum" comment="Classification Addendum Dropdown list used in Values sheet.">OFFSET(DevMode!$B$13,0,0,COUNTIF(DevMode!$B$13:$B$22,"&lt;&gt;"))</definedName>
    <definedName name="ClassificationAge" comment="Classification Age Dropdown list used in Values sheet.">OFFSET(DevMode!$B$35,0,0,COUNTIF(DevMode!$B$35:$B$42,"&lt;&gt;"))</definedName>
    <definedName name="ClassificationReason" comment="Classification Reason Dropdown list used in Values sheet.">OFFSET(DevMode!$B$41,0,0,COUNTIF(DevMode!$B$41:$B$48,"&lt;&gt;"))</definedName>
    <definedName name="PortionMark" comment="Poertion Mark Dropdown list used in Values sheet.">OFFSET(DevMode!$B$24,0,0,COUNTIF(DevMode!$B$24:$B$33,"&lt;&gt;"))</definedName>
    <definedName name="States" comment="State Abbreviation Dropdown list used in Values sheet.">OFFSET(DevMode!$A$2,0,0,COUNTIF(DevMode!$A$2:$A$53,"&lt;&gt;"))</definedName>
    <definedName name="StorageScale" comment="Storage Scale Dropdown list used in Values sheet.">OFFSET(DevMode!$C$8,0,0,COUNTIF(DevMode!$C$8:$C$17,"&lt;&gt;"))</definedName>
    <definedName name="StorageType" comment="Storage Type Dropdown list used in Values sheet.">OFFSET(DevMode!$C$2,0,0,COUNTIF(DevMode!$C$2:$C$6,"&lt;&gt;"))</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51" i="2" l="1"/>
  <c r="V39" i="2"/>
  <c r="O51" i="2"/>
  <c r="O39" i="2"/>
  <c r="H51" i="2"/>
  <c r="H39" i="2"/>
  <c r="V25" i="2"/>
  <c r="O25" i="2"/>
  <c r="H25" i="2"/>
  <c r="A51" i="2"/>
  <c r="A39" i="2"/>
  <c r="A25" i="2"/>
  <c r="X22" i="2"/>
  <c r="Q22" i="2"/>
  <c r="J22" i="2"/>
  <c r="C22" i="2"/>
  <c r="Z25" i="2"/>
  <c r="A1" i="1"/>
  <c r="O53" i="2"/>
  <c r="S51" i="2"/>
  <c r="Q50" i="2"/>
  <c r="Q49" i="2"/>
  <c r="Q48" i="2"/>
  <c r="P47" i="2"/>
  <c r="P46" i="2"/>
  <c r="O45" i="2"/>
  <c r="O44" i="2"/>
  <c r="O43" i="2"/>
  <c r="S39" i="2"/>
  <c r="Q38" i="2"/>
  <c r="Q37" i="2"/>
  <c r="Q36" i="2"/>
  <c r="P35" i="2"/>
  <c r="O34" i="2"/>
  <c r="O33" i="2"/>
  <c r="P32" i="2"/>
  <c r="O31" i="2"/>
  <c r="O30" i="2"/>
  <c r="O29" i="2"/>
  <c r="S25" i="2"/>
  <c r="Q24" i="2"/>
  <c r="Q23" i="2"/>
  <c r="P21" i="2"/>
  <c r="P20" i="2"/>
  <c r="O19" i="2"/>
  <c r="O18" i="2"/>
  <c r="O17" i="2"/>
  <c r="O14" i="2"/>
  <c r="O11" i="2"/>
  <c r="O8" i="2"/>
  <c r="O5" i="2"/>
  <c r="O4" i="2"/>
  <c r="O1" i="2"/>
  <c r="H53" i="2"/>
  <c r="L51" i="2"/>
  <c r="J50" i="2"/>
  <c r="J49" i="2"/>
  <c r="J48" i="2"/>
  <c r="I47" i="2"/>
  <c r="I46" i="2"/>
  <c r="H45" i="2"/>
  <c r="H44" i="2"/>
  <c r="H43" i="2"/>
  <c r="L39" i="2"/>
  <c r="J38" i="2"/>
  <c r="J37" i="2"/>
  <c r="J36" i="2"/>
  <c r="I35" i="2"/>
  <c r="H34" i="2"/>
  <c r="H33" i="2"/>
  <c r="I32" i="2"/>
  <c r="H31" i="2"/>
  <c r="H30" i="2"/>
  <c r="H29" i="2"/>
  <c r="L25" i="2"/>
  <c r="J24" i="2"/>
  <c r="J23" i="2"/>
  <c r="I21" i="2"/>
  <c r="I20" i="2"/>
  <c r="H19" i="2"/>
  <c r="H18" i="2"/>
  <c r="H17" i="2"/>
  <c r="H14" i="2"/>
  <c r="H11" i="2"/>
  <c r="H8" i="2"/>
  <c r="H5" i="2"/>
  <c r="H4" i="2"/>
  <c r="H1" i="2"/>
  <c r="A53" i="2"/>
  <c r="E51" i="2"/>
  <c r="C50" i="2"/>
  <c r="C48" i="2"/>
  <c r="B47" i="2"/>
  <c r="B46" i="2"/>
  <c r="A45" i="2"/>
  <c r="A44" i="2"/>
  <c r="A43" i="2"/>
  <c r="E39" i="2"/>
  <c r="C38" i="2"/>
  <c r="C36" i="2"/>
  <c r="B35" i="2"/>
  <c r="A34" i="2"/>
  <c r="A33" i="2"/>
  <c r="B32" i="2"/>
  <c r="A31" i="2"/>
  <c r="A30" i="2"/>
  <c r="A29" i="2"/>
  <c r="E25" i="2"/>
  <c r="C24" i="2"/>
  <c r="B21" i="2"/>
  <c r="C49" i="2" s="1"/>
  <c r="B20" i="2"/>
  <c r="A19" i="2"/>
  <c r="A18" i="2"/>
  <c r="A17" i="2"/>
  <c r="A14" i="2"/>
  <c r="A11" i="2"/>
  <c r="A8" i="2"/>
  <c r="A5" i="2"/>
  <c r="A4" i="2"/>
  <c r="A1" i="2"/>
  <c r="Z51" i="2"/>
  <c r="Z39" i="2"/>
  <c r="V34" i="2"/>
  <c r="X48" i="2"/>
  <c r="X36" i="2"/>
  <c r="W46" i="2"/>
  <c r="W32" i="2"/>
  <c r="V45" i="2"/>
  <c r="V44" i="2"/>
  <c r="V31" i="2"/>
  <c r="V30" i="2"/>
  <c r="V53" i="2"/>
  <c r="V43" i="2"/>
  <c r="V29" i="2"/>
  <c r="V17" i="2"/>
  <c r="V5" i="2"/>
  <c r="V19" i="2"/>
  <c r="W20" i="2"/>
  <c r="V18" i="2"/>
  <c r="V14" i="2"/>
  <c r="V11" i="2"/>
  <c r="V8" i="2"/>
  <c r="V4" i="2"/>
  <c r="V1" i="2"/>
  <c r="X50" i="2"/>
  <c r="X49" i="2"/>
  <c r="W47" i="2"/>
  <c r="X38" i="2"/>
  <c r="X37" i="2"/>
  <c r="W35" i="2"/>
  <c r="V33" i="2"/>
  <c r="X24" i="2"/>
  <c r="X23" i="2"/>
  <c r="W21" i="2"/>
  <c r="C37" i="2" l="1"/>
  <c r="C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Jeffreys, Duncan A (US)</author>
  </authors>
  <commentList>
    <comment ref="A1" authorId="0" shapeId="0" xr:uid="{06886A03-46BE-450C-BEC6-670A0EC2230C}">
      <text>
        <r>
          <rPr>
            <b/>
            <u/>
            <sz val="9"/>
            <color indexed="81"/>
            <rFont val="Tahoma"/>
            <family val="2"/>
          </rPr>
          <t>Website:</t>
        </r>
        <r>
          <rPr>
            <sz val="9"/>
            <color indexed="81"/>
            <rFont val="Tahoma"/>
            <family val="2"/>
          </rPr>
          <t xml:space="preserve">
</t>
        </r>
        <r>
          <rPr>
            <i/>
            <sz val="9"/>
            <color indexed="81"/>
            <rFont val="Tahoma"/>
            <family val="2"/>
          </rPr>
          <t>https://www.github.com/JeffreysDA</t>
        </r>
        <r>
          <rPr>
            <sz val="9"/>
            <color indexed="81"/>
            <rFont val="Tahoma"/>
            <family val="2"/>
          </rPr>
          <t xml:space="preserve">
</t>
        </r>
        <r>
          <rPr>
            <b/>
            <u/>
            <sz val="9"/>
            <color indexed="81"/>
            <rFont val="Tahoma"/>
            <family val="2"/>
          </rPr>
          <t>Contact:</t>
        </r>
        <r>
          <rPr>
            <sz val="9"/>
            <color indexed="81"/>
            <rFont val="Tahoma"/>
            <family val="2"/>
          </rPr>
          <t xml:space="preserve">
jeffreysda@proton.me</t>
        </r>
      </text>
    </comment>
    <comment ref="A2" authorId="0" shapeId="0" xr:uid="{2B029F6F-92B4-4362-B8C2-92FB3BB6C447}">
      <text>
        <r>
          <rPr>
            <sz val="9"/>
            <color indexed="81"/>
            <rFont val="Tahoma"/>
            <family val="2"/>
          </rPr>
          <t>Name, serial number, service tag, or other identifying designation of the hardware being labeled.</t>
        </r>
      </text>
    </comment>
    <comment ref="A10" authorId="0" shapeId="0" xr:uid="{377D77A2-8A7C-4FA7-98ED-B963AF1566CB}">
      <text>
        <r>
          <rPr>
            <b/>
            <sz val="9"/>
            <color indexed="81"/>
            <rFont val="Tahoma"/>
            <family val="2"/>
          </rPr>
          <t xml:space="preserve">(Optional)
</t>
        </r>
        <r>
          <rPr>
            <sz val="9"/>
            <color indexed="81"/>
            <rFont val="Tahoma"/>
            <family val="2"/>
          </rPr>
          <t>Used to override the current date and apply past or future dates to the labels.</t>
        </r>
      </text>
    </comment>
    <comment ref="A11" authorId="0" shapeId="0" xr:uid="{A53AC505-1772-4A76-AB1C-A662BF3B46C2}">
      <text>
        <r>
          <rPr>
            <sz val="9"/>
            <color indexed="81"/>
            <rFont val="Tahoma"/>
            <family val="2"/>
          </rPr>
          <t>The number of years that must pass before the labeled item can be declassified.</t>
        </r>
      </text>
    </comment>
    <comment ref="A14" authorId="0" shapeId="0" xr:uid="{8D575AA3-8136-4D95-A297-02F4105284D0}">
      <text>
        <r>
          <rPr>
            <b/>
            <u/>
            <sz val="9"/>
            <color indexed="81"/>
            <rFont val="Tahoma"/>
            <family val="2"/>
          </rPr>
          <t>Reasons for Classification:</t>
        </r>
        <r>
          <rPr>
            <sz val="9"/>
            <color indexed="81"/>
            <rFont val="Tahoma"/>
            <family val="2"/>
          </rPr>
          <t xml:space="preserve">
</t>
        </r>
        <r>
          <rPr>
            <b/>
            <i/>
            <sz val="9"/>
            <color indexed="81"/>
            <rFont val="Tahoma"/>
            <family val="2"/>
          </rPr>
          <t>(a)</t>
        </r>
        <r>
          <rPr>
            <sz val="9"/>
            <color indexed="81"/>
            <rFont val="Tahoma"/>
            <family val="2"/>
          </rPr>
          <t xml:space="preserve"> Military plans, weapons systems, or operations;
</t>
        </r>
        <r>
          <rPr>
            <b/>
            <i/>
            <sz val="9"/>
            <color indexed="81"/>
            <rFont val="Tahoma"/>
            <family val="2"/>
          </rPr>
          <t>(b)</t>
        </r>
        <r>
          <rPr>
            <sz val="9"/>
            <color indexed="81"/>
            <rFont val="Tahoma"/>
            <family val="2"/>
          </rPr>
          <t xml:space="preserve"> Foreign government information;
</t>
        </r>
        <r>
          <rPr>
            <b/>
            <i/>
            <sz val="9"/>
            <color indexed="81"/>
            <rFont val="Tahoma"/>
            <family val="2"/>
          </rPr>
          <t>(c)</t>
        </r>
        <r>
          <rPr>
            <sz val="9"/>
            <color indexed="81"/>
            <rFont val="Tahoma"/>
            <family val="2"/>
          </rPr>
          <t xml:space="preserve"> Intelligence activities (including covert action), intelligence sources or
methods, or cryptology;
</t>
        </r>
        <r>
          <rPr>
            <b/>
            <i/>
            <sz val="9"/>
            <color indexed="81"/>
            <rFont val="Tahoma"/>
            <family val="2"/>
          </rPr>
          <t>(d)</t>
        </r>
        <r>
          <rPr>
            <sz val="9"/>
            <color indexed="81"/>
            <rFont val="Tahoma"/>
            <family val="2"/>
          </rPr>
          <t xml:space="preserve"> Foreign relations or foreign activities of the United States, including
confidential sources;
</t>
        </r>
        <r>
          <rPr>
            <b/>
            <i/>
            <sz val="9"/>
            <color indexed="81"/>
            <rFont val="Tahoma"/>
            <family val="2"/>
          </rPr>
          <t>(e)</t>
        </r>
        <r>
          <rPr>
            <sz val="9"/>
            <color indexed="81"/>
            <rFont val="Tahoma"/>
            <family val="2"/>
          </rPr>
          <t xml:space="preserve"> Scientific, technological, or economic matters relating to the national
security;
</t>
        </r>
        <r>
          <rPr>
            <b/>
            <i/>
            <sz val="9"/>
            <color indexed="81"/>
            <rFont val="Tahoma"/>
            <family val="2"/>
          </rPr>
          <t>(f)</t>
        </r>
        <r>
          <rPr>
            <sz val="9"/>
            <color indexed="81"/>
            <rFont val="Tahoma"/>
            <family val="2"/>
          </rPr>
          <t xml:space="preserve"> United States Government programs for safeguarding nuclear materials or facilities;
</t>
        </r>
        <r>
          <rPr>
            <b/>
            <i/>
            <sz val="9"/>
            <color indexed="81"/>
            <rFont val="Tahoma"/>
            <family val="2"/>
          </rPr>
          <t>(g)</t>
        </r>
        <r>
          <rPr>
            <sz val="9"/>
            <color indexed="81"/>
            <rFont val="Tahoma"/>
            <family val="2"/>
          </rPr>
          <t xml:space="preserve"> Vulnerabilities or capabilities of systems, installations, infrastructures,
projects, plans, or protection services relating to the national security; or
</t>
        </r>
        <r>
          <rPr>
            <b/>
            <i/>
            <sz val="9"/>
            <color indexed="81"/>
            <rFont val="Tahoma"/>
            <family val="2"/>
          </rPr>
          <t>(h)</t>
        </r>
        <r>
          <rPr>
            <sz val="9"/>
            <color indexed="81"/>
            <rFont val="Tahoma"/>
            <family val="2"/>
          </rPr>
          <t xml:space="preserve"> The development, production, or use of weapons of mass destruction.
</t>
        </r>
        <r>
          <rPr>
            <b/>
            <u/>
            <sz val="9"/>
            <color indexed="81"/>
            <rFont val="Tahoma"/>
            <family val="2"/>
          </rPr>
          <t>SOURCE:</t>
        </r>
        <r>
          <rPr>
            <sz val="9"/>
            <color indexed="81"/>
            <rFont val="Tahoma"/>
            <family val="2"/>
          </rPr>
          <t xml:space="preserve">
Executive Order 13526, Section 1.4
</t>
        </r>
        <r>
          <rPr>
            <i/>
            <sz val="9"/>
            <color indexed="81"/>
            <rFont val="Tahoma"/>
            <family val="2"/>
          </rPr>
          <t>https://www.govinfo.gov/content/pkg/CFR-2010-title3-vol1/pdf/CFR-2010-title3-vol1-eo13526.pdf</t>
        </r>
      </text>
    </comment>
  </commentList>
</comments>
</file>

<file path=xl/sharedStrings.xml><?xml version="1.0" encoding="utf-8"?>
<sst xmlns="http://schemas.openxmlformats.org/spreadsheetml/2006/main" count="225" uniqueCount="131">
  <si>
    <t>Password</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</si>
  <si>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</si>
  <si>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Figure 1</t>
  </si>
  <si>
    <t>Figure 2</t>
  </si>
  <si>
    <t>Figure 3</t>
  </si>
  <si>
    <t>Figure 4</t>
  </si>
  <si>
    <t>To check for updates, report an issue, or make a request/suggestion, contact me at</t>
  </si>
  <si>
    <t>Website:</t>
  </si>
  <si>
    <t>https://github.com/JeffreysDA</t>
  </si>
  <si>
    <t>Contact:</t>
  </si>
  <si>
    <t>IMPORTANT!</t>
  </si>
  <si>
    <t>NOTES:</t>
  </si>
  <si>
    <t>Version</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</si>
  <si>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editing drop down lists, changing headers, changing the document password, etc.
You can even edit this NOTES area to keep your own notes, memos, tips, or really whatever you want.
Some of the options edit information that is used to create other documents, so do be careful when making changes.
If there are any changes that you want to make that cannot be done using Developer Mode, please send an email to jeffreysda@gmail.com. Be sure to inlcude the name of this document in the Subject,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</si>
  <si>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jeffreysda@proton.me</t>
  </si>
  <si>
    <t>Title:</t>
  </si>
  <si>
    <t>Date:</t>
  </si>
  <si>
    <r>
      <t>o</t>
    </r>
    <r>
      <rPr>
        <b/>
        <sz val="10"/>
        <rFont val="Arial"/>
        <family val="2"/>
      </rPr>
      <t xml:space="preserve">OS   </t>
    </r>
    <r>
      <rPr>
        <b/>
        <sz val="10"/>
        <rFont val="Wingdings"/>
        <charset val="2"/>
      </rPr>
      <t>o</t>
    </r>
    <r>
      <rPr>
        <b/>
        <sz val="10"/>
        <rFont val="Arial"/>
        <family val="2"/>
      </rPr>
      <t>DATA</t>
    </r>
  </si>
  <si>
    <t>Classified By:</t>
  </si>
  <si>
    <t>Derived From:</t>
  </si>
  <si>
    <t>Date of Source:</t>
  </si>
  <si>
    <t>Declass On:</t>
  </si>
  <si>
    <t>DO NOT REMOVE THIS LABEL</t>
  </si>
  <si>
    <t>Program</t>
  </si>
  <si>
    <t>Address Line 1</t>
  </si>
  <si>
    <t>Address Line 2</t>
  </si>
  <si>
    <t>City</t>
  </si>
  <si>
    <t>State Abbreviation</t>
  </si>
  <si>
    <t>FL</t>
  </si>
  <si>
    <t>Zip Code</t>
  </si>
  <si>
    <t>Classification Age (Years)</t>
  </si>
  <si>
    <t>Classification</t>
  </si>
  <si>
    <t>Classification Addendum</t>
  </si>
  <si>
    <t>//NOFORN</t>
  </si>
  <si>
    <t>Employee ID Number</t>
  </si>
  <si>
    <t>Storage Type</t>
  </si>
  <si>
    <t>NVMe</t>
  </si>
  <si>
    <t>Storage Scale</t>
  </si>
  <si>
    <t>TB</t>
  </si>
  <si>
    <t>Storage Size</t>
  </si>
  <si>
    <t>Storage Serial Number</t>
  </si>
  <si>
    <t>AL</t>
  </si>
  <si>
    <t>AK</t>
  </si>
  <si>
    <t>AZ</t>
  </si>
  <si>
    <t>AR</t>
  </si>
  <si>
    <t>CA</t>
  </si>
  <si>
    <t>CO</t>
  </si>
  <si>
    <t>CT</t>
  </si>
  <si>
    <t>DE</t>
  </si>
  <si>
    <t>DC</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</si>
  <si>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</si>
  <si>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</si>
  <si>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</si>
  <si>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</si>
  <si>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</si>
  <si>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</si>
  <si>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</si>
  <si>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</si>
  <si>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</si>
  <si>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</si>
  <si>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</si>
  <si>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</si>
  <si>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</si>
  <si>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</si>
  <si>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</si>
  <si>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</si>
  <si>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</si>
  <si>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</si>
  <si>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</si>
  <si>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</si>
  <si>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</si>
  <si>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</si>
  <si>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</si>
  <si>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</si>
  <si>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</si>
  <si>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</si>
  <si>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</si>
  <si>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</si>
  <si>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</si>
  <si>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PR</t>
  </si>
  <si>
    <t>RI</t>
  </si>
  <si>
    <t>SC</t>
  </si>
  <si>
    <t>SD</t>
  </si>
  <si>
    <t>TN</t>
  </si>
  <si>
    <t>TX</t>
  </si>
  <si>
    <t>UT</t>
  </si>
  <si>
    <t>VT</t>
  </si>
  <si>
    <t>VA</t>
  </si>
  <si>
    <t>WA</t>
  </si>
  <si>
    <t>WV</t>
  </si>
  <si>
    <t>WI</t>
  </si>
  <si>
    <t>WY</t>
  </si>
  <si>
    <t>State Abreviations</t>
  </si>
  <si>
    <t>Classifications</t>
  </si>
  <si>
    <t>CUI</t>
  </si>
  <si>
    <t>Employee Name</t>
  </si>
  <si>
    <t>(U)</t>
  </si>
  <si>
    <t>//FGI</t>
  </si>
  <si>
    <t>Unclassified</t>
  </si>
  <si>
    <t>Confidential</t>
  </si>
  <si>
    <t>Secret</t>
  </si>
  <si>
    <t>Top Secret</t>
  </si>
  <si>
    <t>HDD</t>
  </si>
  <si>
    <t>SSD</t>
  </si>
  <si>
    <t>B</t>
  </si>
  <si>
    <t>KB</t>
  </si>
  <si>
    <t>MB</t>
  </si>
  <si>
    <t>GB</t>
  </si>
  <si>
    <t>PB</t>
  </si>
  <si>
    <t>EB</t>
  </si>
  <si>
    <t>Portion Mark</t>
  </si>
  <si>
    <t>(C)</t>
  </si>
  <si>
    <t>(S)</t>
  </si>
  <si>
    <t>(TS)</t>
  </si>
  <si>
    <t>1.1</t>
  </si>
  <si>
    <t>Classification Reason</t>
  </si>
  <si>
    <t>1.4(a)</t>
  </si>
  <si>
    <t>1.4(b)</t>
  </si>
  <si>
    <t>1.4(c)</t>
  </si>
  <si>
    <t>1.4(d)</t>
  </si>
  <si>
    <t>1.4(e)</t>
  </si>
  <si>
    <t>1.4(f)</t>
  </si>
  <si>
    <t>1.4(g)</t>
  </si>
  <si>
    <t>1.4(h)</t>
  </si>
  <si>
    <t>Label Set 1</t>
  </si>
  <si>
    <t>Label Set 2</t>
  </si>
  <si>
    <t>Label Set 3</t>
  </si>
  <si>
    <t>Label Set 4</t>
  </si>
  <si>
    <r>
      <t xml:space="preserve">DO NOT SAVE THIS DOCUMENT WHILE IN DEVELOPER MODE! DOING SO MAY HAVE UNWANTED EFFECTS. EXIT DEVELOPER MODE FIRST, THEN SAVE THE DOCUMENT.
</t>
    </r>
    <r>
      <rPr>
        <b/>
        <sz val="11"/>
        <color rgb="FF0000FF"/>
        <rFont val="Calibri"/>
        <family val="2"/>
        <scheme val="minor"/>
      </rPr>
      <t>Email "jeffreysda@proton.me" for any questions, issues, or suggestions.</t>
    </r>
  </si>
  <si>
    <t>Date Override</t>
  </si>
  <si>
    <t>Hardware Designation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</si>
</sst>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lt;=99999]00000;[&gt;99999]00000\-0000"/>
  </numFmts>
  <fonts count="33"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sz val="11"/>
      <color rgb="FFFF0000"/>
      <name val="Calibri"/>
      <family val="2"/>
      <scheme val="minor"/>
    </font>
    <font>
      <sz val="11"/>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b/>
      <sz val="11"/>
      <color rgb="FF0000FF"/>
      <name val="Calibri"/>
      <family val="2"/>
      <scheme val="minor"/>
    </font>
    <font>
      <b/>
      <u/>
      <sz val="11"/>
      <color theme="1"/>
      <name val="Calibri"/>
      <family val="2"/>
      <scheme val="minor"/>
    </font>
    <font>
      <b/>
      <sz val="11"/>
      <color rgb="FFC00000"/>
      <name val="Calibri"/>
      <family val="2"/>
      <scheme val="minor"/>
    </font>
    <font>
      <b/>
      <sz val="28"/>
      <name val="Helvetica"/>
    </font>
    <font>
      <sz val="11"/>
      <color theme="1"/>
      <name val="Helvetica"/>
    </font>
    <font>
      <b/>
      <sz val="14"/>
      <name val="Helvetica"/>
    </font>
    <font>
      <sz val="14"/>
      <name val="Helvetica"/>
    </font>
    <font>
      <sz val="22"/>
      <name val="Free 3 of 9 Extended"/>
    </font>
    <font>
      <sz val="22"/>
      <name val="Helvetica"/>
    </font>
    <font>
      <b/>
      <sz val="22"/>
      <name val="Helvetica"/>
    </font>
    <font>
      <b/>
      <sz val="12"/>
      <name val="Helvetica"/>
    </font>
    <font>
      <sz val="6"/>
      <name val="Helvetica"/>
    </font>
    <font>
      <b/>
      <sz val="8"/>
      <name val="Helvetica"/>
    </font>
    <font>
      <sz val="8"/>
      <name val="Helvetica"/>
    </font>
    <font>
      <b/>
      <sz val="10"/>
      <name val="Wingdings"/>
      <charset val="2"/>
    </font>
    <font>
      <b/>
      <sz val="10"/>
      <name val="Arial"/>
      <family val="2"/>
    </font>
    <font>
      <b/>
      <sz val="9"/>
      <name val="Helvetica"/>
    </font>
    <font>
      <sz val="28"/>
      <name val="Free 3 of 9 Extended"/>
    </font>
    <font>
      <sz val="9"/>
      <color indexed="81"/>
      <name val="Tahoma"/>
      <family val="2"/>
    </font>
    <font>
      <b/>
      <sz val="9"/>
      <color indexed="81"/>
      <name val="Tahoma"/>
      <family val="2"/>
    </font>
    <font>
      <b/>
      <u/>
      <sz val="9"/>
      <color indexed="81"/>
      <name val="Tahoma"/>
      <family val="2"/>
    </font>
    <font>
      <b/>
      <i/>
      <sz val="9"/>
      <color indexed="81"/>
      <name val="Tahoma"/>
      <family val="2"/>
    </font>
    <font>
      <i/>
      <sz val="9"/>
      <color indexed="81"/>
      <name val="Tahoma"/>
      <family val="2"/>
    </font>
  </fonts>
  <fills count="1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1"/>
        <bgColor indexed="64"/>
      </patternFill>
    </fill>
    <fill>
      <patternFill patternType="gray125">
        <fgColor indexed="22"/>
        <bgColor theme="0" tint="-4.9989318521683403E-2"/>
      </patternFill>
    </fill>
    <fill>
      <patternFill patternType="solid">
        <fgColor theme="4"/>
        <bgColor indexed="64"/>
      </patternFill>
    </fill>
    <fill>
      <patternFill patternType="solid">
        <fgColor theme="8" tint="0.59999389629810485"/>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dotted">
        <color indexed="8"/>
      </bottom>
      <diagonal/>
    </border>
    <border>
      <left/>
      <right/>
      <top style="dotted">
        <color indexed="8"/>
      </top>
      <bottom style="medium">
        <color indexed="64"/>
      </bottom>
      <diagonal/>
    </border>
    <border>
      <left/>
      <right/>
      <top style="dotted">
        <color indexed="8"/>
      </top>
      <bottom/>
      <diagonal/>
    </border>
    <border>
      <left/>
      <right/>
      <top/>
      <bottom style="dotted">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top/>
      <bottom style="dotted">
        <color indexed="8"/>
      </bottom>
      <diagonal/>
    </border>
  </borders>
  <cellStyleXfs count="3">
    <xf numFmtId="0" fontId="0" fillId="0" borderId="0"/>
    <xf numFmtId="0" fontId="1" fillId="5" borderId="19" applyNumberFormat="0" applyFont="0" applyAlignment="0" applyProtection="0"/>
    <xf numFmtId="0" fontId="8" fillId="0" borderId="0" applyNumberFormat="0" applyFill="0" applyBorder="0" applyAlignment="0" applyProtection="0"/>
  </cellStyleXfs>
  <cellXfs count="165">
    <xf numFmtId="0" fontId="0" fillId="0" borderId="0" xfId="0"/>
    <xf numFmtId="0" fontId="0" fillId="6" borderId="0" xfId="0" applyFill="1" applyBorder="1"/>
    <xf numFmtId="0" fontId="2" fillId="6" borderId="23" xfId="0" applyFont="1" applyFill="1" applyBorder="1" applyAlignment="1">
      <alignment horizontal="center" vertical="center"/>
    </xf>
    <xf numFmtId="0" fontId="0" fillId="6" borderId="24" xfId="0" applyFill="1" applyBorder="1"/>
    <xf numFmtId="0" fontId="0" fillId="6" borderId="25" xfId="0" applyFill="1" applyBorder="1"/>
    <xf numFmtId="0" fontId="0" fillId="6" borderId="28" xfId="0" applyFill="1" applyBorder="1"/>
    <xf numFmtId="0" fontId="0" fillId="6" borderId="29" xfId="0" applyFill="1" applyBorder="1"/>
    <xf numFmtId="0" fontId="2" fillId="6" borderId="24" xfId="0" applyFont="1" applyFill="1" applyBorder="1" applyAlignment="1">
      <alignment horizontal="center" vertical="center"/>
    </xf>
    <xf numFmtId="0" fontId="0" fillId="6" borderId="30" xfId="0" applyFill="1" applyBorder="1"/>
    <xf numFmtId="0" fontId="0" fillId="6" borderId="31" xfId="0" applyFill="1" applyBorder="1"/>
    <xf numFmtId="0" fontId="0" fillId="6" borderId="32" xfId="0" applyFill="1" applyBorder="1"/>
    <xf numFmtId="0" fontId="0" fillId="6" borderId="0" xfId="0" applyFill="1"/>
    <xf numFmtId="0" fontId="2" fillId="7" borderId="2" xfId="0" applyFont="1" applyFill="1" applyBorder="1" applyAlignment="1">
      <alignment vertical="center"/>
    </xf>
    <xf numFmtId="0" fontId="0" fillId="10" borderId="0" xfId="0" applyFill="1" applyProtection="1"/>
    <xf numFmtId="49" fontId="0" fillId="4" borderId="45" xfId="0" applyNumberFormat="1" applyFill="1" applyBorder="1" applyAlignment="1" applyProtection="1">
      <protection locked="0"/>
    </xf>
    <xf numFmtId="49" fontId="0" fillId="4" borderId="46" xfId="0" applyNumberFormat="1" applyFill="1" applyBorder="1" applyAlignment="1" applyProtection="1">
      <protection locked="0"/>
    </xf>
    <xf numFmtId="0" fontId="12" fillId="13" borderId="2" xfId="0" applyFont="1" applyFill="1" applyBorder="1" applyAlignment="1" applyProtection="1">
      <alignment horizontal="center" vertical="center"/>
    </xf>
    <xf numFmtId="49" fontId="0" fillId="4" borderId="53" xfId="0" applyNumberFormat="1" applyFill="1" applyBorder="1" applyProtection="1">
      <protection locked="0"/>
    </xf>
    <xf numFmtId="0" fontId="2" fillId="9" borderId="17" xfId="0" applyFont="1" applyFill="1" applyBorder="1" applyAlignment="1" applyProtection="1">
      <alignment horizontal="center" vertical="center"/>
    </xf>
    <xf numFmtId="0" fontId="2" fillId="16" borderId="17" xfId="0" applyFont="1" applyFill="1" applyBorder="1" applyAlignment="1">
      <alignment horizontal="center" vertical="center"/>
    </xf>
    <xf numFmtId="0" fontId="2" fillId="16" borderId="9" xfId="0" applyFont="1" applyFill="1" applyBorder="1" applyAlignment="1">
      <alignment horizontal="left" vertical="center"/>
    </xf>
    <xf numFmtId="0" fontId="2" fillId="16" borderId="8" xfId="0" applyFont="1" applyFill="1" applyBorder="1" applyAlignment="1">
      <alignment horizontal="left" vertical="center"/>
    </xf>
    <xf numFmtId="0" fontId="14" fillId="0" borderId="0" xfId="0" applyFont="1" applyProtection="1"/>
    <xf numFmtId="49" fontId="21" fillId="0" borderId="51" xfId="0" applyNumberFormat="1" applyFont="1" applyBorder="1" applyAlignment="1" applyProtection="1">
      <alignment horizontal="left" vertical="center"/>
    </xf>
    <xf numFmtId="49" fontId="21" fillId="0" borderId="51" xfId="0" applyNumberFormat="1" applyFont="1" applyBorder="1" applyAlignment="1" applyProtection="1">
      <alignment vertical="center"/>
    </xf>
    <xf numFmtId="49" fontId="21" fillId="0" borderId="52" xfId="0" applyNumberFormat="1" applyFont="1" applyBorder="1" applyAlignment="1" applyProtection="1">
      <alignment horizontal="center" vertical="center"/>
    </xf>
    <xf numFmtId="49" fontId="21" fillId="0" borderId="60" xfId="0" applyNumberFormat="1" applyFont="1" applyBorder="1" applyAlignment="1" applyProtection="1">
      <alignment vertical="center"/>
    </xf>
    <xf numFmtId="0" fontId="22" fillId="0" borderId="0" xfId="0" applyFont="1" applyProtection="1"/>
    <xf numFmtId="49" fontId="0" fillId="4" borderId="15" xfId="0" applyNumberFormat="1" applyFill="1" applyBorder="1" applyAlignment="1" applyProtection="1">
      <protection locked="0"/>
    </xf>
    <xf numFmtId="49" fontId="0" fillId="4" borderId="62" xfId="0" applyNumberFormat="1" applyFill="1" applyBorder="1" applyAlignment="1" applyProtection="1">
      <protection locked="0"/>
    </xf>
    <xf numFmtId="0" fontId="2" fillId="9" borderId="38" xfId="0" applyFont="1" applyFill="1" applyBorder="1" applyAlignment="1" applyProtection="1">
      <alignment horizontal="center" vertical="center"/>
    </xf>
    <xf numFmtId="0" fontId="5" fillId="14" borderId="23" xfId="0" applyFont="1" applyFill="1" applyBorder="1" applyAlignment="1">
      <alignment horizontal="center" vertical="center"/>
    </xf>
    <xf numFmtId="0" fontId="0" fillId="17" borderId="0" xfId="0" applyFill="1"/>
    <xf numFmtId="0" fontId="0" fillId="3" borderId="3" xfId="0" applyFill="1" applyBorder="1" applyAlignment="1" applyProtection="1">
      <alignment horizontal="left" vertical="center"/>
      <protection locked="0"/>
    </xf>
    <xf numFmtId="0" fontId="0" fillId="3" borderId="4" xfId="0" applyFill="1" applyBorder="1" applyAlignment="1" applyProtection="1">
      <alignment horizontal="left" vertical="center"/>
      <protection locked="0"/>
    </xf>
    <xf numFmtId="0" fontId="0" fillId="3" borderId="10" xfId="0" applyFill="1" applyBorder="1" applyAlignment="1" applyProtection="1">
      <alignment horizontal="left" vertical="center"/>
      <protection locked="0"/>
    </xf>
    <xf numFmtId="0" fontId="0" fillId="3" borderId="5" xfId="0" applyFill="1" applyBorder="1" applyAlignment="1" applyProtection="1">
      <alignment horizontal="left" vertical="center"/>
      <protection locked="0"/>
    </xf>
    <xf numFmtId="0" fontId="0" fillId="3" borderId="1" xfId="0" applyFill="1" applyBorder="1" applyAlignment="1" applyProtection="1">
      <alignment horizontal="left" vertical="center"/>
      <protection locked="0"/>
    </xf>
    <xf numFmtId="0" fontId="0" fillId="3" borderId="11" xfId="0" applyFill="1" applyBorder="1" applyAlignment="1" applyProtection="1">
      <alignment horizontal="left" vertical="center"/>
      <protection locked="0"/>
    </xf>
    <xf numFmtId="14" fontId="0" fillId="3" borderId="5" xfId="0" applyNumberFormat="1" applyFill="1" applyBorder="1" applyAlignment="1" applyProtection="1">
      <alignment horizontal="left" vertical="center"/>
      <protection locked="0"/>
    </xf>
    <xf numFmtId="14" fontId="0" fillId="3" borderId="1" xfId="0" applyNumberFormat="1" applyFill="1" applyBorder="1" applyAlignment="1" applyProtection="1">
      <alignment horizontal="left" vertical="center"/>
      <protection locked="0"/>
    </xf>
    <xf numFmtId="14" fontId="0" fillId="3" borderId="11" xfId="0" applyNumberFormat="1" applyFill="1" applyBorder="1" applyAlignment="1" applyProtection="1">
      <alignment horizontal="left" vertical="center"/>
      <protection locked="0"/>
    </xf>
    <xf numFmtId="49" fontId="0" fillId="3" borderId="5" xfId="0" applyNumberFormat="1" applyFill="1" applyBorder="1" applyAlignment="1" applyProtection="1">
      <alignment horizontal="left" vertical="center"/>
      <protection locked="0"/>
    </xf>
    <xf numFmtId="49" fontId="0" fillId="3" borderId="1" xfId="0" applyNumberFormat="1" applyFill="1" applyBorder="1" applyAlignment="1" applyProtection="1">
      <alignment horizontal="left" vertical="center"/>
      <protection locked="0"/>
    </xf>
    <xf numFmtId="49" fontId="0" fillId="3" borderId="11" xfId="0" applyNumberFormat="1" applyFill="1" applyBorder="1" applyAlignment="1" applyProtection="1">
      <alignment horizontal="left" vertical="center"/>
      <protection locked="0"/>
    </xf>
    <xf numFmtId="49" fontId="0" fillId="3" borderId="6" xfId="0" applyNumberFormat="1" applyFill="1" applyBorder="1" applyAlignment="1" applyProtection="1">
      <alignment horizontal="left" vertical="center"/>
      <protection locked="0"/>
    </xf>
    <xf numFmtId="49" fontId="0" fillId="3" borderId="7" xfId="0" applyNumberFormat="1" applyFill="1" applyBorder="1" applyAlignment="1" applyProtection="1">
      <alignment horizontal="left" vertical="center"/>
      <protection locked="0"/>
    </xf>
    <xf numFmtId="49" fontId="0" fillId="3" borderId="12" xfId="0" applyNumberFormat="1" applyFill="1" applyBorder="1" applyAlignment="1" applyProtection="1">
      <alignment horizontal="left" vertical="center"/>
      <protection locked="0"/>
    </xf>
    <xf numFmtId="49" fontId="0" fillId="4" borderId="46" xfId="0" applyNumberFormat="1" applyFill="1" applyBorder="1" applyProtection="1">
      <protection locked="0"/>
    </xf>
    <xf numFmtId="49" fontId="0" fillId="4" borderId="47" xfId="0" applyNumberFormat="1" applyFill="1" applyBorder="1" applyProtection="1">
      <protection locked="0"/>
    </xf>
    <xf numFmtId="49" fontId="0" fillId="4" borderId="62" xfId="0" applyNumberFormat="1" applyFill="1" applyBorder="1" applyProtection="1">
      <protection locked="0"/>
    </xf>
    <xf numFmtId="49" fontId="0" fillId="4" borderId="15" xfId="0" applyNumberFormat="1" applyFill="1" applyBorder="1" applyProtection="1">
      <protection locked="0"/>
    </xf>
    <xf numFmtId="49" fontId="0" fillId="4" borderId="16" xfId="0" applyNumberFormat="1" applyFill="1" applyBorder="1" applyProtection="1">
      <protection locked="0"/>
    </xf>
    <xf numFmtId="49" fontId="0" fillId="4" borderId="45" xfId="0" applyNumberFormat="1" applyFill="1" applyBorder="1" applyProtection="1">
      <protection locked="0"/>
    </xf>
    <xf numFmtId="164" fontId="0" fillId="3" borderId="5" xfId="0" applyNumberFormat="1" applyFill="1" applyBorder="1" applyAlignment="1" applyProtection="1">
      <alignment horizontal="left" vertical="center"/>
      <protection locked="0"/>
    </xf>
    <xf numFmtId="164" fontId="0" fillId="3" borderId="1" xfId="0" applyNumberFormat="1" applyFill="1" applyBorder="1" applyAlignment="1" applyProtection="1">
      <alignment horizontal="left" vertical="center"/>
      <protection locked="0"/>
    </xf>
    <xf numFmtId="164" fontId="0" fillId="3" borderId="11" xfId="0" applyNumberFormat="1" applyFill="1" applyBorder="1" applyAlignment="1" applyProtection="1">
      <alignment horizontal="left" vertical="center"/>
      <protection locked="0"/>
    </xf>
    <xf numFmtId="0" fontId="0" fillId="5" borderId="20" xfId="1" applyFont="1" applyBorder="1" applyAlignment="1">
      <alignment horizontal="left" vertical="top" wrapText="1"/>
    </xf>
    <xf numFmtId="0" fontId="0" fillId="5" borderId="21" xfId="1" applyFont="1" applyBorder="1" applyAlignment="1">
      <alignment horizontal="left" vertical="top" wrapText="1"/>
    </xf>
    <xf numFmtId="0" fontId="0" fillId="5" borderId="22" xfId="1" applyFont="1" applyBorder="1" applyAlignment="1">
      <alignment horizontal="left" vertical="top" wrapText="1"/>
    </xf>
    <xf numFmtId="0" fontId="0" fillId="5" borderId="26" xfId="1" applyFont="1" applyBorder="1" applyAlignment="1">
      <alignment horizontal="left" vertical="top" wrapText="1"/>
    </xf>
    <xf numFmtId="0" fontId="0" fillId="5" borderId="19" xfId="1" applyFont="1" applyBorder="1" applyAlignment="1">
      <alignment horizontal="left" vertical="top" wrapText="1"/>
    </xf>
    <xf numFmtId="0" fontId="0" fillId="5" borderId="27" xfId="1" applyFont="1" applyBorder="1" applyAlignment="1">
      <alignment horizontal="left" vertical="top" wrapText="1"/>
    </xf>
    <xf numFmtId="0" fontId="0" fillId="5" borderId="33" xfId="1" applyFont="1" applyBorder="1" applyAlignment="1">
      <alignment horizontal="left" vertical="top" wrapText="1"/>
    </xf>
    <xf numFmtId="0" fontId="0" fillId="5" borderId="34" xfId="1" applyFont="1" applyBorder="1" applyAlignment="1">
      <alignment horizontal="left" vertical="top" wrapText="1"/>
    </xf>
    <xf numFmtId="0" fontId="0" fillId="5" borderId="35" xfId="1" applyFont="1" applyBorder="1" applyAlignment="1">
      <alignment horizontal="left" vertical="top" wrapText="1"/>
    </xf>
    <xf numFmtId="0" fontId="7" fillId="7" borderId="36" xfId="0" applyFont="1" applyFill="1" applyBorder="1" applyAlignment="1">
      <alignment horizontal="left" vertical="top" wrapText="1"/>
    </xf>
    <xf numFmtId="0" fontId="7" fillId="7" borderId="37" xfId="0" applyFont="1" applyFill="1" applyBorder="1" applyAlignment="1">
      <alignment horizontal="left" vertical="top" wrapText="1"/>
    </xf>
    <xf numFmtId="0" fontId="7" fillId="7" borderId="38" xfId="0" applyFont="1" applyFill="1" applyBorder="1" applyAlignment="1">
      <alignment horizontal="left" vertical="top" wrapText="1"/>
    </xf>
    <xf numFmtId="0" fontId="7" fillId="7" borderId="9" xfId="0" applyFont="1" applyFill="1" applyBorder="1" applyAlignment="1">
      <alignment horizontal="left" vertical="top" wrapText="1"/>
    </xf>
    <xf numFmtId="0" fontId="7" fillId="7" borderId="39" xfId="0" applyFont="1" applyFill="1" applyBorder="1" applyAlignment="1">
      <alignment horizontal="left" vertical="top" wrapText="1"/>
    </xf>
    <xf numFmtId="0" fontId="7" fillId="7" borderId="40" xfId="0" applyFont="1" applyFill="1" applyBorder="1" applyAlignment="1">
      <alignment horizontal="left" vertical="top" wrapText="1"/>
    </xf>
    <xf numFmtId="0" fontId="9" fillId="8" borderId="41" xfId="2" applyFont="1" applyFill="1" applyBorder="1" applyAlignment="1">
      <alignment horizontal="left" vertical="center"/>
    </xf>
    <xf numFmtId="0" fontId="9" fillId="8" borderId="42" xfId="2" applyFont="1" applyFill="1" applyBorder="1" applyAlignment="1">
      <alignment horizontal="left" vertical="center"/>
    </xf>
    <xf numFmtId="0" fontId="9" fillId="8" borderId="15" xfId="2" applyFont="1" applyFill="1" applyBorder="1" applyAlignment="1">
      <alignment horizontal="left" vertical="center"/>
    </xf>
    <xf numFmtId="0" fontId="9" fillId="8" borderId="43" xfId="2" applyFont="1" applyFill="1" applyBorder="1" applyAlignment="1">
      <alignment horizontal="left" vertical="center"/>
    </xf>
    <xf numFmtId="0" fontId="9" fillId="8" borderId="44" xfId="2" applyFont="1" applyFill="1" applyBorder="1" applyAlignment="1">
      <alignment horizontal="left" vertical="center"/>
    </xf>
    <xf numFmtId="0" fontId="9" fillId="8" borderId="16" xfId="2" applyFont="1" applyFill="1" applyBorder="1" applyAlignment="1">
      <alignment horizontal="left" vertical="center"/>
    </xf>
    <xf numFmtId="0" fontId="21" fillId="0" borderId="36" xfId="0" applyNumberFormat="1" applyFont="1" applyBorder="1" applyAlignment="1" applyProtection="1">
      <alignment horizontal="center" vertical="center"/>
    </xf>
    <xf numFmtId="0" fontId="21" fillId="0" borderId="37" xfId="0" applyNumberFormat="1" applyFont="1" applyBorder="1" applyAlignment="1" applyProtection="1">
      <alignment horizontal="center" vertical="center"/>
    </xf>
    <xf numFmtId="0" fontId="21" fillId="0" borderId="38" xfId="0" applyNumberFormat="1" applyFont="1" applyBorder="1" applyAlignment="1" applyProtection="1">
      <alignment horizontal="center" vertical="center"/>
    </xf>
    <xf numFmtId="0" fontId="21" fillId="0" borderId="51" xfId="0" applyNumberFormat="1" applyFont="1" applyBorder="1" applyAlignment="1" applyProtection="1">
      <alignment horizontal="center" vertical="center"/>
    </xf>
    <xf numFmtId="0" fontId="21" fillId="0" borderId="0" xfId="0" applyNumberFormat="1" applyFont="1" applyBorder="1" applyAlignment="1" applyProtection="1">
      <alignment horizontal="center" vertical="center"/>
    </xf>
    <xf numFmtId="0" fontId="21" fillId="0" borderId="52" xfId="0" applyNumberFormat="1" applyFont="1" applyBorder="1" applyAlignment="1" applyProtection="1">
      <alignment horizontal="center" vertical="center"/>
    </xf>
    <xf numFmtId="0" fontId="14" fillId="0" borderId="0" xfId="0" applyFont="1" applyAlignment="1" applyProtection="1">
      <alignment horizontal="center"/>
    </xf>
    <xf numFmtId="0" fontId="20" fillId="0" borderId="8" xfId="0" applyFont="1" applyBorder="1" applyAlignment="1" applyProtection="1">
      <alignment horizontal="center" vertical="center"/>
    </xf>
    <xf numFmtId="0" fontId="20" fillId="0" borderId="54" xfId="0" applyFont="1" applyBorder="1" applyAlignment="1" applyProtection="1">
      <alignment horizontal="center" vertical="center"/>
    </xf>
    <xf numFmtId="0" fontId="20" fillId="0" borderId="55" xfId="0" applyFont="1" applyBorder="1" applyAlignment="1" applyProtection="1">
      <alignment horizontal="center" vertical="center"/>
    </xf>
    <xf numFmtId="0" fontId="26" fillId="0" borderId="3" xfId="0" applyFont="1" applyBorder="1" applyAlignment="1" applyProtection="1">
      <alignment horizontal="center" vertical="center"/>
    </xf>
    <xf numFmtId="0" fontId="26" fillId="0" borderId="4" xfId="0" applyFont="1" applyBorder="1" applyAlignment="1" applyProtection="1">
      <alignment horizontal="center" vertical="center"/>
    </xf>
    <xf numFmtId="0" fontId="26" fillId="0" borderId="10" xfId="0" applyFont="1" applyBorder="1" applyAlignment="1" applyProtection="1">
      <alignment horizontal="center" vertical="center"/>
    </xf>
    <xf numFmtId="0" fontId="20" fillId="0" borderId="43" xfId="0" applyFont="1" applyBorder="1" applyAlignment="1" applyProtection="1">
      <alignment horizontal="center" vertical="center"/>
    </xf>
    <xf numFmtId="0" fontId="20" fillId="0" borderId="44" xfId="0" applyFont="1" applyBorder="1" applyAlignment="1" applyProtection="1">
      <alignment horizontal="center" vertical="center"/>
    </xf>
    <xf numFmtId="0" fontId="20" fillId="0" borderId="16" xfId="0" applyFont="1" applyBorder="1" applyAlignment="1" applyProtection="1">
      <alignment horizontal="center" vertical="center"/>
    </xf>
    <xf numFmtId="49" fontId="21" fillId="0" borderId="44" xfId="0" applyNumberFormat="1" applyFont="1" applyBorder="1" applyAlignment="1" applyProtection="1">
      <alignment horizontal="right" vertical="center"/>
    </xf>
    <xf numFmtId="14" fontId="21" fillId="0" borderId="44" xfId="0" applyNumberFormat="1" applyFont="1" applyBorder="1" applyAlignment="1" applyProtection="1">
      <alignment horizontal="left" vertical="center"/>
    </xf>
    <xf numFmtId="0" fontId="21" fillId="0" borderId="16" xfId="0" applyFont="1" applyBorder="1" applyAlignment="1" applyProtection="1">
      <alignment horizontal="left" vertical="center"/>
    </xf>
    <xf numFmtId="49" fontId="21" fillId="0" borderId="51" xfId="0" applyNumberFormat="1" applyFont="1" applyBorder="1" applyAlignment="1" applyProtection="1">
      <alignment horizontal="left" vertical="center"/>
    </xf>
    <xf numFmtId="49" fontId="21" fillId="0" borderId="0" xfId="0" applyNumberFormat="1" applyFont="1" applyBorder="1" applyAlignment="1" applyProtection="1">
      <alignment horizontal="left" vertical="center"/>
    </xf>
    <xf numFmtId="0" fontId="21" fillId="0" borderId="61" xfId="0" applyFont="1" applyBorder="1" applyAlignment="1" applyProtection="1">
      <alignment horizontal="left" vertical="center"/>
    </xf>
    <xf numFmtId="0" fontId="21" fillId="0" borderId="62" xfId="0" applyFont="1" applyBorder="1" applyAlignment="1" applyProtection="1">
      <alignment horizontal="left" vertical="center"/>
    </xf>
    <xf numFmtId="0" fontId="21" fillId="0" borderId="31" xfId="0" applyFont="1" applyBorder="1" applyAlignment="1" applyProtection="1">
      <alignment horizontal="left" vertical="center"/>
    </xf>
    <xf numFmtId="0" fontId="22" fillId="0" borderId="31" xfId="0" applyFont="1" applyBorder="1" applyAlignment="1" applyProtection="1">
      <alignment horizontal="left" vertical="center" shrinkToFit="1"/>
    </xf>
    <xf numFmtId="0" fontId="22" fillId="0" borderId="60" xfId="0" applyFont="1" applyBorder="1" applyAlignment="1" applyProtection="1">
      <alignment horizontal="left" vertical="center" shrinkToFit="1"/>
    </xf>
    <xf numFmtId="0" fontId="23" fillId="0" borderId="31" xfId="0" applyFont="1" applyBorder="1" applyAlignment="1" applyProtection="1">
      <alignment horizontal="left" vertical="center"/>
    </xf>
    <xf numFmtId="0" fontId="24" fillId="0" borderId="24" xfId="0" applyFont="1" applyBorder="1" applyAlignment="1" applyProtection="1">
      <alignment horizontal="center" vertical="center"/>
    </xf>
    <xf numFmtId="0" fontId="24" fillId="0" borderId="63" xfId="0" applyFont="1" applyBorder="1" applyAlignment="1" applyProtection="1">
      <alignment horizontal="center" vertical="center"/>
    </xf>
    <xf numFmtId="0" fontId="26" fillId="0" borderId="13" xfId="0" applyFont="1" applyBorder="1" applyAlignment="1" applyProtection="1">
      <alignment horizontal="center" vertical="center"/>
    </xf>
    <xf numFmtId="0" fontId="26" fillId="0" borderId="18" xfId="0" applyFont="1" applyBorder="1" applyAlignment="1" applyProtection="1">
      <alignment horizontal="center" vertical="center"/>
    </xf>
    <xf numFmtId="0" fontId="26" fillId="0" borderId="14" xfId="0" applyFont="1" applyBorder="1" applyAlignment="1" applyProtection="1">
      <alignment horizontal="center" vertical="center"/>
    </xf>
    <xf numFmtId="0" fontId="18" fillId="0" borderId="59" xfId="0" applyFont="1" applyBorder="1" applyAlignment="1" applyProtection="1">
      <alignment horizontal="center" vertical="center"/>
    </xf>
    <xf numFmtId="0" fontId="27" fillId="0" borderId="64" xfId="0" applyFont="1" applyBorder="1" applyAlignment="1" applyProtection="1">
      <alignment horizontal="center" vertical="top" shrinkToFit="1"/>
    </xf>
    <xf numFmtId="0" fontId="27" fillId="0" borderId="61" xfId="0" applyFont="1" applyBorder="1" applyAlignment="1" applyProtection="1">
      <alignment horizontal="center" vertical="top" shrinkToFit="1"/>
    </xf>
    <xf numFmtId="0" fontId="27" fillId="0" borderId="62" xfId="0" applyFont="1" applyBorder="1" applyAlignment="1" applyProtection="1">
      <alignment horizontal="center" vertical="top" shrinkToFit="1"/>
    </xf>
    <xf numFmtId="0" fontId="22" fillId="0" borderId="64" xfId="0" applyFont="1" applyBorder="1" applyAlignment="1" applyProtection="1">
      <alignment horizontal="center" vertical="center"/>
    </xf>
    <xf numFmtId="0" fontId="22" fillId="0" borderId="61" xfId="0" applyFont="1" applyBorder="1" applyAlignment="1" applyProtection="1">
      <alignment horizontal="center" vertical="center"/>
    </xf>
    <xf numFmtId="0" fontId="22" fillId="0" borderId="62" xfId="0" applyFont="1" applyBorder="1" applyAlignment="1" applyProtection="1">
      <alignment horizontal="center" vertical="center"/>
    </xf>
    <xf numFmtId="0" fontId="24" fillId="0" borderId="0" xfId="0" applyFont="1" applyBorder="1" applyAlignment="1" applyProtection="1">
      <alignment horizontal="center" vertical="center"/>
    </xf>
    <xf numFmtId="0" fontId="24" fillId="0" borderId="52" xfId="0" applyFont="1" applyBorder="1" applyAlignment="1" applyProtection="1">
      <alignment horizontal="center" vertical="center"/>
    </xf>
    <xf numFmtId="0" fontId="26" fillId="0" borderId="65" xfId="0" applyFont="1" applyBorder="1" applyAlignment="1" applyProtection="1">
      <alignment horizontal="center" vertical="center"/>
    </xf>
    <xf numFmtId="0" fontId="13" fillId="0" borderId="13" xfId="0" applyFont="1" applyBorder="1" applyAlignment="1" applyProtection="1">
      <alignment horizontal="center" vertical="center" shrinkToFit="1"/>
    </xf>
    <xf numFmtId="0" fontId="13" fillId="0" borderId="18" xfId="0" applyFont="1" applyBorder="1" applyAlignment="1" applyProtection="1">
      <alignment horizontal="center" vertical="center" shrinkToFit="1"/>
    </xf>
    <xf numFmtId="0" fontId="13" fillId="0" borderId="14" xfId="0" applyFont="1" applyBorder="1" applyAlignment="1" applyProtection="1">
      <alignment horizontal="center" vertical="center" shrinkToFit="1"/>
    </xf>
    <xf numFmtId="0" fontId="13" fillId="0" borderId="8" xfId="0" applyFont="1" applyBorder="1" applyAlignment="1" applyProtection="1">
      <alignment horizontal="center" vertical="center" shrinkToFit="1"/>
    </xf>
    <xf numFmtId="0" fontId="13" fillId="0" borderId="54" xfId="0" applyFont="1" applyBorder="1" applyAlignment="1" applyProtection="1">
      <alignment horizontal="center" vertical="center" shrinkToFit="1"/>
    </xf>
    <xf numFmtId="0" fontId="13" fillId="0" borderId="55" xfId="0" applyFont="1" applyBorder="1" applyAlignment="1" applyProtection="1">
      <alignment horizontal="center" vertical="center" shrinkToFit="1"/>
    </xf>
    <xf numFmtId="0" fontId="13" fillId="0" borderId="0" xfId="0" applyFont="1" applyAlignment="1" applyProtection="1">
      <alignment horizontal="center" vertical="center" shrinkToFit="1"/>
    </xf>
    <xf numFmtId="0" fontId="14" fillId="0" borderId="56" xfId="0" applyFont="1" applyBorder="1" applyAlignment="1" applyProtection="1">
      <alignment horizontal="center"/>
    </xf>
    <xf numFmtId="0" fontId="19" fillId="0" borderId="58" xfId="0" applyFont="1" applyBorder="1" applyAlignment="1" applyProtection="1">
      <alignment horizontal="center" vertical="center"/>
    </xf>
    <xf numFmtId="0" fontId="18" fillId="0" borderId="0" xfId="0" applyFont="1" applyAlignment="1" applyProtection="1">
      <alignment horizontal="center" vertical="center"/>
    </xf>
    <xf numFmtId="0" fontId="17" fillId="0" borderId="9" xfId="0" applyFont="1" applyBorder="1" applyAlignment="1" applyProtection="1">
      <alignment horizontal="center" vertical="center"/>
    </xf>
    <xf numFmtId="0" fontId="17" fillId="0" borderId="39" xfId="0" applyFont="1" applyBorder="1" applyAlignment="1" applyProtection="1">
      <alignment horizontal="center" vertical="center"/>
    </xf>
    <xf numFmtId="0" fontId="17" fillId="0" borderId="40" xfId="0" applyFont="1" applyBorder="1" applyAlignment="1" applyProtection="1">
      <alignment horizontal="center" vertical="center"/>
    </xf>
    <xf numFmtId="0" fontId="14" fillId="0" borderId="57" xfId="0" applyFont="1" applyBorder="1" applyAlignment="1" applyProtection="1">
      <alignment horizontal="center"/>
    </xf>
    <xf numFmtId="0" fontId="15" fillId="15" borderId="41" xfId="0" applyFont="1" applyFill="1" applyBorder="1" applyAlignment="1" applyProtection="1">
      <alignment horizontal="center" vertical="center"/>
    </xf>
    <xf numFmtId="0" fontId="16" fillId="15" borderId="42" xfId="0" applyFont="1" applyFill="1" applyBorder="1" applyProtection="1"/>
    <xf numFmtId="0" fontId="16" fillId="15" borderId="15" xfId="0" applyFont="1" applyFill="1" applyBorder="1" applyProtection="1"/>
    <xf numFmtId="0" fontId="5" fillId="2" borderId="13" xfId="0" applyFont="1" applyFill="1" applyBorder="1" applyAlignment="1" applyProtection="1">
      <alignment horizontal="center" vertical="center"/>
    </xf>
    <xf numFmtId="0" fontId="5" fillId="2" borderId="18" xfId="0" applyFont="1" applyFill="1" applyBorder="1" applyAlignment="1" applyProtection="1">
      <alignment horizontal="center" vertical="center"/>
    </xf>
    <xf numFmtId="0" fontId="5" fillId="2" borderId="14" xfId="0" applyFont="1" applyFill="1" applyBorder="1" applyAlignment="1" applyProtection="1">
      <alignment horizontal="center" vertical="center"/>
    </xf>
    <xf numFmtId="0" fontId="5" fillId="11" borderId="48" xfId="0" applyFont="1" applyFill="1" applyBorder="1" applyAlignment="1" applyProtection="1">
      <alignment horizontal="left" vertical="center" wrapText="1"/>
    </xf>
    <xf numFmtId="0" fontId="5" fillId="11" borderId="49" xfId="0" applyFont="1" applyFill="1" applyBorder="1" applyAlignment="1" applyProtection="1">
      <alignment horizontal="left" vertical="center" wrapText="1"/>
    </xf>
    <xf numFmtId="0" fontId="5" fillId="11" borderId="50" xfId="0" applyFont="1" applyFill="1" applyBorder="1" applyAlignment="1" applyProtection="1">
      <alignment horizontal="left" vertical="center" wrapText="1"/>
    </xf>
    <xf numFmtId="0" fontId="5" fillId="11" borderId="5" xfId="0" applyFont="1" applyFill="1" applyBorder="1" applyAlignment="1" applyProtection="1">
      <alignment horizontal="left" vertical="center" wrapText="1"/>
    </xf>
    <xf numFmtId="0" fontId="5" fillId="11" borderId="1" xfId="0" applyFont="1" applyFill="1" applyBorder="1" applyAlignment="1" applyProtection="1">
      <alignment horizontal="left" vertical="center" wrapText="1"/>
    </xf>
    <xf numFmtId="0" fontId="5" fillId="11" borderId="11" xfId="0" applyFont="1" applyFill="1" applyBorder="1" applyAlignment="1" applyProtection="1">
      <alignment horizontal="left" vertical="center" wrapText="1"/>
    </xf>
    <xf numFmtId="0" fontId="5" fillId="11" borderId="6" xfId="0" applyFont="1" applyFill="1" applyBorder="1" applyAlignment="1" applyProtection="1">
      <alignment horizontal="left" vertical="center" wrapText="1"/>
    </xf>
    <xf numFmtId="0" fontId="5" fillId="11" borderId="7" xfId="0" applyFont="1" applyFill="1" applyBorder="1" applyAlignment="1" applyProtection="1">
      <alignment horizontal="left" vertical="center" wrapText="1"/>
    </xf>
    <xf numFmtId="0" fontId="5" fillId="11" borderId="12" xfId="0" applyFont="1" applyFill="1" applyBorder="1" applyAlignment="1" applyProtection="1">
      <alignment horizontal="left" vertical="center" wrapText="1"/>
    </xf>
    <xf numFmtId="0" fontId="11" fillId="12" borderId="36" xfId="0" applyFont="1" applyFill="1" applyBorder="1" applyAlignment="1" applyProtection="1">
      <alignment horizontal="center" vertical="center"/>
    </xf>
    <xf numFmtId="0" fontId="11" fillId="12" borderId="37" xfId="0" applyFont="1" applyFill="1" applyBorder="1" applyAlignment="1" applyProtection="1">
      <alignment horizontal="center" vertical="center"/>
    </xf>
    <xf numFmtId="0" fontId="11" fillId="12" borderId="38" xfId="0" applyFont="1" applyFill="1" applyBorder="1" applyAlignment="1" applyProtection="1">
      <alignment horizontal="center" vertical="center"/>
    </xf>
    <xf numFmtId="49" fontId="0" fillId="12" borderId="51" xfId="0" applyNumberFormat="1" applyFill="1" applyBorder="1" applyAlignment="1" applyProtection="1">
      <alignment horizontal="left" vertical="top" wrapText="1"/>
      <protection locked="0"/>
    </xf>
    <xf numFmtId="49" fontId="0" fillId="12" borderId="0" xfId="0" applyNumberFormat="1" applyFill="1" applyBorder="1" applyAlignment="1" applyProtection="1">
      <alignment horizontal="left" vertical="top" wrapText="1"/>
      <protection locked="0"/>
    </xf>
    <xf numFmtId="49" fontId="0" fillId="12" borderId="52" xfId="0" applyNumberFormat="1" applyFill="1" applyBorder="1" applyAlignment="1" applyProtection="1">
      <alignment horizontal="left" vertical="top" wrapText="1"/>
      <protection locked="0"/>
    </xf>
    <xf numFmtId="49" fontId="0" fillId="12" borderId="9" xfId="0" applyNumberFormat="1" applyFill="1" applyBorder="1" applyAlignment="1" applyProtection="1">
      <alignment horizontal="left" vertical="top" wrapText="1"/>
      <protection locked="0"/>
    </xf>
    <xf numFmtId="49" fontId="0" fillId="12" borderId="39" xfId="0" applyNumberFormat="1" applyFill="1" applyBorder="1" applyAlignment="1" applyProtection="1">
      <alignment horizontal="left" vertical="top" wrapText="1"/>
      <protection locked="0"/>
    </xf>
    <xf numFmtId="49" fontId="0" fillId="12" borderId="40" xfId="0" applyNumberFormat="1" applyFill="1" applyBorder="1" applyAlignment="1" applyProtection="1">
      <alignment horizontal="left" vertical="top" wrapText="1"/>
      <protection locked="0"/>
    </xf>
    <xf numFmtId="49" fontId="0" fillId="3" borderId="8" xfId="0" applyNumberFormat="1" applyFill="1" applyBorder="1" applyAlignment="1" applyProtection="1">
      <alignment horizontal="center"/>
      <protection locked="0"/>
    </xf>
    <xf numFmtId="49" fontId="0" fillId="3" borderId="55" xfId="0" applyNumberFormat="1" applyFill="1" applyBorder="1" applyAlignment="1" applyProtection="1">
      <alignment horizontal="center"/>
      <protection locked="0"/>
    </xf>
    <xf numFmtId="0" fontId="5" fillId="14" borderId="8" xfId="0" applyFont="1" applyFill="1" applyBorder="1" applyAlignment="1" applyProtection="1">
      <alignment horizontal="center"/>
    </xf>
    <xf numFmtId="0" fontId="5" fillId="14" borderId="55" xfId="0" applyFont="1" applyFill="1" applyBorder="1" applyAlignment="1" applyProtection="1">
      <alignment horizontal="center"/>
    </xf>
    <xf numFmtId="0" fontId="21" fillId="0" borderId="9" xfId="0" applyNumberFormat="1" applyFont="1" applyBorder="1" applyAlignment="1" applyProtection="1">
      <alignment horizontal="left" vertical="center"/>
    </xf>
    <xf numFmtId="0" fontId="21" fillId="0" borderId="39" xfId="0" applyNumberFormat="1" applyFont="1" applyBorder="1" applyAlignment="1" applyProtection="1">
      <alignment horizontal="left" vertical="center"/>
    </xf>
    <xf numFmtId="0" fontId="0" fillId="17" borderId="0" xfId="0" applyFill="1" applyAlignment="1">
      <alignment vertical="top" wrapText="1"/>
    </xf>
  </cellXfs>
  <cellStyles count="3">
    <cellStyle name="Hyperlink" xfId="2" builtinId="8"/>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581025</xdr:colOff>
          <xdr:row>0</xdr:row>
          <xdr:rowOff>19050</xdr:rowOff>
        </xdr:from>
        <xdr:to>
          <xdr:col>1</xdr:col>
          <xdr:colOff>1809750</xdr:colOff>
          <xdr:row>0</xdr:row>
          <xdr:rowOff>180975</xdr:rowOff>
        </xdr:to>
        <xdr:sp macro="" textlink="">
          <xdr:nvSpPr>
            <xdr:cNvPr id="1043" name="ChkBx_Toggle_Label_1" descr="Toggle Label 1"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0</xdr:row>
          <xdr:rowOff>19050</xdr:rowOff>
        </xdr:from>
        <xdr:to>
          <xdr:col>2</xdr:col>
          <xdr:colOff>1809750</xdr:colOff>
          <xdr:row>0</xdr:row>
          <xdr:rowOff>180975</xdr:rowOff>
        </xdr:to>
        <xdr:sp macro="" textlink="">
          <xdr:nvSpPr>
            <xdr:cNvPr id="1044" name="ChkBx_Toggle_Label_2" descr="Toggle Label 1"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19050</xdr:rowOff>
        </xdr:from>
        <xdr:to>
          <xdr:col>3</xdr:col>
          <xdr:colOff>1809750</xdr:colOff>
          <xdr:row>0</xdr:row>
          <xdr:rowOff>180975</xdr:rowOff>
        </xdr:to>
        <xdr:sp macro="" textlink="">
          <xdr:nvSpPr>
            <xdr:cNvPr id="1045" name="ChkBx_Toggle_Label_3" descr="Toggle Label 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581025</xdr:colOff>
          <xdr:row>0</xdr:row>
          <xdr:rowOff>19050</xdr:rowOff>
        </xdr:from>
        <xdr:to>
          <xdr:col>4</xdr:col>
          <xdr:colOff>1809750</xdr:colOff>
          <xdr:row>0</xdr:row>
          <xdr:rowOff>180975</xdr:rowOff>
        </xdr:to>
        <xdr:sp macro="" textlink="">
          <xdr:nvSpPr>
            <xdr:cNvPr id="1046" name="ChkBx_Toggle_Label_4" descr="Toggle Label 1"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95250</xdr:colOff>
          <xdr:row>3</xdr:row>
          <xdr:rowOff>76200</xdr:rowOff>
        </xdr:from>
        <xdr:to>
          <xdr:col>7</xdr:col>
          <xdr:colOff>933450</xdr:colOff>
          <xdr:row>5</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1</xdr:row>
          <xdr:rowOff>76200</xdr:rowOff>
        </xdr:from>
        <xdr:to>
          <xdr:col>16</xdr:col>
          <xdr:colOff>209550</xdr:colOff>
          <xdr:row>3</xdr:row>
          <xdr:rowOff>114300</xdr:rowOff>
        </xdr:to>
        <xdr:sp macro="" textlink="">
          <xdr:nvSpPr>
            <xdr:cNvPr id="4099" name="ExtDevMd"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
  <dimension ref="A1:U35"/>
  <sheetViews>
    <sheetView tabSelected="1" workbookViewId="0">
      <selection activeCell="D35" sqref="D35:F35"/>
    </sheetView>
  </sheetViews>
  <sheetFormatPr defaultColWidth="9.140625" defaultRowHeight="15" x14ac:dyDescent="0.25"/>
  <cols>
    <col min="1" max="9" width="9.140625" style="11"/>
    <col min="10" max="16384" width="9.140625" style="1"/>
  </cols>
  <sheetData>
    <row r="1" spans="1:21" ht="15" customHeight="1" x14ac:dyDescent="0.25">
      <c r="A1" s="57" t="s">
        <v>1</v>
      </c>
      <c r="B1" s="58"/>
      <c r="C1" s="58"/>
      <c r="D1" s="58"/>
      <c r="E1" s="58"/>
      <c r="F1" s="58"/>
      <c r="G1" s="58"/>
      <c r="H1" s="58"/>
      <c r="I1" s="59"/>
      <c r="K1" s="2" t="s">
        <v>2</v>
      </c>
      <c r="L1" s="3"/>
      <c r="M1" s="3"/>
      <c r="N1" s="3"/>
      <c r="O1" s="3"/>
      <c r="P1" s="3"/>
      <c r="Q1" s="3"/>
      <c r="R1" s="4"/>
    </row>
    <row r="2" spans="1:21" x14ac:dyDescent="0.25">
      <c r="A2" s="60"/>
      <c r="B2" s="61"/>
      <c r="C2" s="61"/>
      <c r="D2" s="61"/>
      <c r="E2" s="61"/>
      <c r="F2" s="61"/>
      <c r="G2" s="61"/>
      <c r="H2" s="61"/>
      <c r="I2" s="62"/>
      <c r="K2" s="5"/>
      <c r="R2" s="6"/>
    </row>
    <row r="3" spans="1:21" x14ac:dyDescent="0.25">
      <c r="A3" s="60"/>
      <c r="B3" s="61"/>
      <c r="C3" s="61"/>
      <c r="D3" s="61"/>
      <c r="E3" s="61"/>
      <c r="F3" s="61"/>
      <c r="G3" s="61"/>
      <c r="H3" s="61"/>
      <c r="I3" s="62"/>
      <c r="K3" s="5"/>
      <c r="R3" s="6"/>
    </row>
    <row r="4" spans="1:21" x14ac:dyDescent="0.25">
      <c r="A4" s="60"/>
      <c r="B4" s="61"/>
      <c r="C4" s="61"/>
      <c r="D4" s="61"/>
      <c r="E4" s="61"/>
      <c r="F4" s="61"/>
      <c r="G4" s="61"/>
      <c r="H4" s="61"/>
      <c r="I4" s="62"/>
      <c r="K4" s="2" t="s">
        <v>3</v>
      </c>
      <c r="L4" s="3"/>
      <c r="M4" s="3"/>
      <c r="N4" s="3"/>
      <c r="O4" s="3"/>
      <c r="P4" s="7"/>
      <c r="Q4" s="3"/>
      <c r="R4" s="3"/>
      <c r="S4" s="3"/>
      <c r="T4" s="3"/>
      <c r="U4" s="4"/>
    </row>
    <row r="5" spans="1:21" x14ac:dyDescent="0.25">
      <c r="A5" s="60"/>
      <c r="B5" s="61"/>
      <c r="C5" s="61"/>
      <c r="D5" s="61"/>
      <c r="E5" s="61"/>
      <c r="F5" s="61"/>
      <c r="G5" s="61"/>
      <c r="H5" s="61"/>
      <c r="I5" s="62"/>
      <c r="K5" s="5"/>
      <c r="U5" s="6"/>
    </row>
    <row r="6" spans="1:21" x14ac:dyDescent="0.25">
      <c r="A6" s="60"/>
      <c r="B6" s="61"/>
      <c r="C6" s="61"/>
      <c r="D6" s="61"/>
      <c r="E6" s="61"/>
      <c r="F6" s="61"/>
      <c r="G6" s="61"/>
      <c r="H6" s="61"/>
      <c r="I6" s="62"/>
      <c r="K6" s="5"/>
      <c r="U6" s="6"/>
    </row>
    <row r="7" spans="1:21" x14ac:dyDescent="0.25">
      <c r="A7" s="60"/>
      <c r="B7" s="61"/>
      <c r="C7" s="61"/>
      <c r="D7" s="61"/>
      <c r="E7" s="61"/>
      <c r="F7" s="61"/>
      <c r="G7" s="61"/>
      <c r="H7" s="61"/>
      <c r="I7" s="62"/>
      <c r="K7" s="8"/>
      <c r="L7" s="9"/>
      <c r="M7" s="9"/>
      <c r="N7" s="9"/>
      <c r="O7" s="9"/>
      <c r="P7" s="9"/>
      <c r="Q7" s="9"/>
      <c r="R7" s="9"/>
      <c r="S7" s="9"/>
      <c r="T7" s="9"/>
      <c r="U7" s="10"/>
    </row>
    <row r="8" spans="1:21" x14ac:dyDescent="0.25">
      <c r="A8" s="60"/>
      <c r="B8" s="61"/>
      <c r="C8" s="61"/>
      <c r="D8" s="61"/>
      <c r="E8" s="61"/>
      <c r="F8" s="61"/>
      <c r="G8" s="61"/>
      <c r="H8" s="61"/>
      <c r="I8" s="62"/>
      <c r="K8" s="2" t="s">
        <v>4</v>
      </c>
      <c r="L8" s="3"/>
      <c r="M8" s="3"/>
      <c r="N8" s="3"/>
      <c r="O8" s="4"/>
      <c r="P8" s="2" t="s">
        <v>5</v>
      </c>
      <c r="Q8" s="3"/>
      <c r="R8" s="3"/>
      <c r="S8" s="3"/>
      <c r="T8" s="3"/>
      <c r="U8" s="4"/>
    </row>
    <row r="9" spans="1:21" x14ac:dyDescent="0.25">
      <c r="A9" s="60"/>
      <c r="B9" s="61"/>
      <c r="C9" s="61"/>
      <c r="D9" s="61"/>
      <c r="E9" s="61"/>
      <c r="F9" s="61"/>
      <c r="G9" s="61"/>
      <c r="H9" s="61"/>
      <c r="I9" s="62"/>
      <c r="K9" s="5"/>
      <c r="O9" s="6"/>
      <c r="P9" s="5"/>
      <c r="U9" s="6"/>
    </row>
    <row r="10" spans="1:21" x14ac:dyDescent="0.25">
      <c r="A10" s="60"/>
      <c r="B10" s="61"/>
      <c r="C10" s="61"/>
      <c r="D10" s="61"/>
      <c r="E10" s="61"/>
      <c r="F10" s="61"/>
      <c r="G10" s="61"/>
      <c r="H10" s="61"/>
      <c r="I10" s="62"/>
      <c r="K10" s="5"/>
      <c r="O10" s="6"/>
      <c r="P10" s="5"/>
      <c r="U10" s="6"/>
    </row>
    <row r="11" spans="1:21" x14ac:dyDescent="0.25">
      <c r="A11" s="60"/>
      <c r="B11" s="61"/>
      <c r="C11" s="61"/>
      <c r="D11" s="61"/>
      <c r="E11" s="61"/>
      <c r="F11" s="61"/>
      <c r="G11" s="61"/>
      <c r="H11" s="61"/>
      <c r="I11" s="62"/>
      <c r="K11" s="5"/>
      <c r="O11" s="6"/>
      <c r="P11" s="5"/>
      <c r="U11" s="6"/>
    </row>
    <row r="12" spans="1:21" x14ac:dyDescent="0.25">
      <c r="A12" s="60"/>
      <c r="B12" s="61"/>
      <c r="C12" s="61"/>
      <c r="D12" s="61"/>
      <c r="E12" s="61"/>
      <c r="F12" s="61"/>
      <c r="G12" s="61"/>
      <c r="H12" s="61"/>
      <c r="I12" s="62"/>
      <c r="K12" s="5"/>
      <c r="O12" s="6"/>
      <c r="P12" s="5"/>
      <c r="U12" s="6"/>
    </row>
    <row r="13" spans="1:21" x14ac:dyDescent="0.25">
      <c r="A13" s="60"/>
      <c r="B13" s="61"/>
      <c r="C13" s="61"/>
      <c r="D13" s="61"/>
      <c r="E13" s="61"/>
      <c r="F13" s="61"/>
      <c r="G13" s="61"/>
      <c r="H13" s="61"/>
      <c r="I13" s="62"/>
      <c r="K13" s="5"/>
      <c r="O13" s="6"/>
      <c r="P13" s="5"/>
      <c r="U13" s="6"/>
    </row>
    <row r="14" spans="1:21" x14ac:dyDescent="0.25">
      <c r="A14" s="60"/>
      <c r="B14" s="61"/>
      <c r="C14" s="61"/>
      <c r="D14" s="61"/>
      <c r="E14" s="61"/>
      <c r="F14" s="61"/>
      <c r="G14" s="61"/>
      <c r="H14" s="61"/>
      <c r="I14" s="62"/>
      <c r="K14" s="5"/>
      <c r="O14" s="6"/>
      <c r="P14" s="5"/>
      <c r="U14" s="6"/>
    </row>
    <row r="15" spans="1:21" x14ac:dyDescent="0.25">
      <c r="A15" s="60"/>
      <c r="B15" s="61"/>
      <c r="C15" s="61"/>
      <c r="D15" s="61"/>
      <c r="E15" s="61"/>
      <c r="F15" s="61"/>
      <c r="G15" s="61"/>
      <c r="H15" s="61"/>
      <c r="I15" s="62"/>
      <c r="K15" s="5"/>
      <c r="O15" s="6"/>
      <c r="P15" s="5"/>
      <c r="U15" s="6"/>
    </row>
    <row r="16" spans="1:21" x14ac:dyDescent="0.25">
      <c r="A16" s="60"/>
      <c r="B16" s="61"/>
      <c r="C16" s="61"/>
      <c r="D16" s="61"/>
      <c r="E16" s="61"/>
      <c r="F16" s="61"/>
      <c r="G16" s="61"/>
      <c r="H16" s="61"/>
      <c r="I16" s="62"/>
      <c r="K16" s="5"/>
      <c r="O16" s="6"/>
      <c r="P16" s="5"/>
      <c r="U16" s="6"/>
    </row>
    <row r="17" spans="1:21" x14ac:dyDescent="0.25">
      <c r="A17" s="60"/>
      <c r="B17" s="61"/>
      <c r="C17" s="61"/>
      <c r="D17" s="61"/>
      <c r="E17" s="61"/>
      <c r="F17" s="61"/>
      <c r="G17" s="61"/>
      <c r="H17" s="61"/>
      <c r="I17" s="62"/>
      <c r="K17" s="5"/>
      <c r="O17" s="6"/>
      <c r="P17" s="8"/>
      <c r="Q17" s="9"/>
      <c r="R17" s="9"/>
      <c r="S17" s="9"/>
      <c r="T17" s="9"/>
      <c r="U17" s="10"/>
    </row>
    <row r="18" spans="1:21" x14ac:dyDescent="0.25">
      <c r="A18" s="60"/>
      <c r="B18" s="61"/>
      <c r="C18" s="61"/>
      <c r="D18" s="61"/>
      <c r="E18" s="61"/>
      <c r="F18" s="61"/>
      <c r="G18" s="61"/>
      <c r="H18" s="61"/>
      <c r="I18" s="62"/>
      <c r="K18" s="5"/>
      <c r="O18" s="6"/>
    </row>
    <row r="19" spans="1:21" x14ac:dyDescent="0.25">
      <c r="A19" s="60"/>
      <c r="B19" s="61"/>
      <c r="C19" s="61"/>
      <c r="D19" s="61"/>
      <c r="E19" s="61"/>
      <c r="F19" s="61"/>
      <c r="G19" s="61"/>
      <c r="H19" s="61"/>
      <c r="I19" s="62"/>
      <c r="K19" s="5"/>
      <c r="O19" s="6"/>
    </row>
    <row r="20" spans="1:21" x14ac:dyDescent="0.25">
      <c r="A20" s="60"/>
      <c r="B20" s="61"/>
      <c r="C20" s="61"/>
      <c r="D20" s="61"/>
      <c r="E20" s="61"/>
      <c r="F20" s="61"/>
      <c r="G20" s="61"/>
      <c r="H20" s="61"/>
      <c r="I20" s="62"/>
      <c r="K20" s="5"/>
      <c r="O20" s="6"/>
    </row>
    <row r="21" spans="1:21" x14ac:dyDescent="0.25">
      <c r="A21" s="60"/>
      <c r="B21" s="61"/>
      <c r="C21" s="61"/>
      <c r="D21" s="61"/>
      <c r="E21" s="61"/>
      <c r="F21" s="61"/>
      <c r="G21" s="61"/>
      <c r="H21" s="61"/>
      <c r="I21" s="62"/>
      <c r="K21" s="5"/>
      <c r="O21" s="6"/>
    </row>
    <row r="22" spans="1:21" x14ac:dyDescent="0.25">
      <c r="A22" s="60"/>
      <c r="B22" s="61"/>
      <c r="C22" s="61"/>
      <c r="D22" s="61"/>
      <c r="E22" s="61"/>
      <c r="F22" s="61"/>
      <c r="G22" s="61"/>
      <c r="H22" s="61"/>
      <c r="I22" s="62"/>
      <c r="K22" s="5"/>
      <c r="O22" s="6"/>
    </row>
    <row r="23" spans="1:21" x14ac:dyDescent="0.25">
      <c r="A23" s="60"/>
      <c r="B23" s="61"/>
      <c r="C23" s="61"/>
      <c r="D23" s="61"/>
      <c r="E23" s="61"/>
      <c r="F23" s="61"/>
      <c r="G23" s="61"/>
      <c r="H23" s="61"/>
      <c r="I23" s="62"/>
      <c r="K23" s="5"/>
      <c r="O23" s="6"/>
    </row>
    <row r="24" spans="1:21" x14ac:dyDescent="0.25">
      <c r="A24" s="60"/>
      <c r="B24" s="61"/>
      <c r="C24" s="61"/>
      <c r="D24" s="61"/>
      <c r="E24" s="61"/>
      <c r="F24" s="61"/>
      <c r="G24" s="61"/>
      <c r="H24" s="61"/>
      <c r="I24" s="62"/>
      <c r="K24" s="5"/>
      <c r="O24" s="6"/>
    </row>
    <row r="25" spans="1:21" x14ac:dyDescent="0.25">
      <c r="A25" s="60"/>
      <c r="B25" s="61"/>
      <c r="C25" s="61"/>
      <c r="D25" s="61"/>
      <c r="E25" s="61"/>
      <c r="F25" s="61"/>
      <c r="G25" s="61"/>
      <c r="H25" s="61"/>
      <c r="I25" s="62"/>
      <c r="K25" s="5"/>
      <c r="O25" s="6"/>
    </row>
    <row r="26" spans="1:21" x14ac:dyDescent="0.25">
      <c r="A26" s="60"/>
      <c r="B26" s="61"/>
      <c r="C26" s="61"/>
      <c r="D26" s="61"/>
      <c r="E26" s="61"/>
      <c r="F26" s="61"/>
      <c r="G26" s="61"/>
      <c r="H26" s="61"/>
      <c r="I26" s="62"/>
      <c r="K26" s="5"/>
      <c r="O26" s="6"/>
    </row>
    <row r="27" spans="1:21" x14ac:dyDescent="0.25">
      <c r="A27" s="60"/>
      <c r="B27" s="61"/>
      <c r="C27" s="61"/>
      <c r="D27" s="61"/>
      <c r="E27" s="61"/>
      <c r="F27" s="61"/>
      <c r="G27" s="61"/>
      <c r="H27" s="61"/>
      <c r="I27" s="62"/>
      <c r="K27" s="5"/>
      <c r="O27" s="6"/>
    </row>
    <row r="28" spans="1:21" x14ac:dyDescent="0.25">
      <c r="A28" s="60"/>
      <c r="B28" s="61"/>
      <c r="C28" s="61"/>
      <c r="D28" s="61"/>
      <c r="E28" s="61"/>
      <c r="F28" s="61"/>
      <c r="G28" s="61"/>
      <c r="H28" s="61"/>
      <c r="I28" s="62"/>
      <c r="K28" s="5"/>
      <c r="O28" s="6"/>
    </row>
    <row r="29" spans="1:21" x14ac:dyDescent="0.25">
      <c r="A29" s="60"/>
      <c r="B29" s="61"/>
      <c r="C29" s="61"/>
      <c r="D29" s="61"/>
      <c r="E29" s="61"/>
      <c r="F29" s="61"/>
      <c r="G29" s="61"/>
      <c r="H29" s="61"/>
      <c r="I29" s="62"/>
      <c r="K29" s="8"/>
      <c r="L29" s="9"/>
      <c r="M29" s="9"/>
      <c r="N29" s="9"/>
      <c r="O29" s="10"/>
    </row>
    <row r="30" spans="1:21" ht="15.75" thickBot="1" x14ac:dyDescent="0.3">
      <c r="A30" s="63"/>
      <c r="B30" s="64"/>
      <c r="C30" s="64"/>
      <c r="D30" s="64"/>
      <c r="E30" s="64"/>
      <c r="F30" s="64"/>
      <c r="G30" s="64"/>
      <c r="H30" s="64"/>
      <c r="I30" s="65"/>
    </row>
    <row r="31" spans="1:21" ht="15.75" thickBot="1" x14ac:dyDescent="0.3"/>
    <row r="32" spans="1:21" x14ac:dyDescent="0.25">
      <c r="C32" s="66" t="s">
        <v>6</v>
      </c>
      <c r="D32" s="67"/>
      <c r="E32" s="67"/>
      <c r="F32" s="68"/>
    </row>
    <row r="33" spans="3:6" ht="15.75" thickBot="1" x14ac:dyDescent="0.3">
      <c r="C33" s="69"/>
      <c r="D33" s="70"/>
      <c r="E33" s="70"/>
      <c r="F33" s="71"/>
    </row>
    <row r="34" spans="3:6" ht="15.75" thickBot="1" x14ac:dyDescent="0.3">
      <c r="C34" s="12" t="s">
        <v>7</v>
      </c>
      <c r="D34" s="72" t="s">
        <v>8</v>
      </c>
      <c r="E34" s="73"/>
      <c r="F34" s="74"/>
    </row>
    <row r="35" spans="3:6" ht="15.75" thickBot="1" x14ac:dyDescent="0.3">
      <c r="C35" s="12" t="s">
        <v>9</v>
      </c>
      <c r="D35" s="75" t="s">
        <v>14</v>
      </c>
      <c r="E35" s="76"/>
      <c r="F35" s="77"/>
    </row>
  </sheetData>
  <sheetProtection sheet="1" objects="1" scenarios="1" sort="0" autoFilter="0"/>
  <mergeCells count="4">
    <mergeCell ref="A1:I30"/>
    <mergeCell ref="C32:F33"/>
    <mergeCell ref="D34:F34"/>
    <mergeCell ref="D35:F35"/>
  </mergeCells>
  <hyperlinks>
    <hyperlink ref="D34" r:id="rId1" xr:uid="{00000000-0004-0000-0000-000000000000}"/>
    <hyperlink ref="D35" r:id="rId2" display="jeffreysda@gmail.com" xr:uid="{00000000-0004-0000-0000-000001000000}"/>
  </hyperlinks>
  <pageMargins left="0.7" right="0.7" top="0.75" bottom="0.75" header="0.3" footer="0.3"/>
  <pageSetup paperSize="119" orientation="portrait" horizontalDpi="300" verticalDpi="30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E52"/>
  <sheetViews>
    <sheetView zoomScaleNormal="100" workbookViewId="0">
      <selection activeCell="B2" sqref="B2"/>
    </sheetView>
  </sheetViews>
  <sheetFormatPr defaultRowHeight="15" x14ac:dyDescent="0.25"/>
  <cols>
    <col min="1" max="1" width="23.7109375" style="32" bestFit="1" customWidth="1"/>
    <col min="2" max="5" width="38.85546875" style="32" bestFit="1" customWidth="1"/>
    <col min="6" max="7" width="9.140625" style="32"/>
    <col min="8" max="13" width="0" style="32" hidden="1" customWidth="1"/>
    <col min="14" max="16384" width="9.140625" style="32"/>
  </cols>
  <sheetData>
    <row r="1" spans="1:5" ht="15.75" thickBot="1" x14ac:dyDescent="0.3">
      <c r="A1" s="31" t="str">
        <f>TRIM(CONCATENATE(DevMode!$E$1,": ",DevMode!$E$2))</f>
        <v>Version: 1.1</v>
      </c>
      <c r="B1" s="19" t="s">
        <v>124</v>
      </c>
      <c r="C1" s="19" t="s">
        <v>125</v>
      </c>
      <c r="D1" s="19" t="s">
        <v>126</v>
      </c>
      <c r="E1" s="19" t="s">
        <v>127</v>
      </c>
    </row>
    <row r="2" spans="1:5" ht="15.75" thickBot="1" x14ac:dyDescent="0.3">
      <c r="A2" s="21" t="s">
        <v>130</v>
      </c>
      <c r="B2" s="33"/>
      <c r="C2" s="34"/>
      <c r="D2" s="34"/>
      <c r="E2" s="35"/>
    </row>
    <row r="3" spans="1:5" ht="15.75" thickBot="1" x14ac:dyDescent="0.3">
      <c r="A3" s="21" t="s">
        <v>23</v>
      </c>
      <c r="B3" s="36"/>
      <c r="C3" s="37"/>
      <c r="D3" s="37"/>
      <c r="E3" s="38"/>
    </row>
    <row r="4" spans="1:5" ht="15.75" thickBot="1" x14ac:dyDescent="0.3">
      <c r="A4" s="21" t="s">
        <v>24</v>
      </c>
      <c r="B4" s="36"/>
      <c r="C4" s="37"/>
      <c r="D4" s="37"/>
      <c r="E4" s="38"/>
    </row>
    <row r="5" spans="1:5" ht="15.75" thickBot="1" x14ac:dyDescent="0.3">
      <c r="A5" s="21" t="s">
        <v>25</v>
      </c>
      <c r="B5" s="36"/>
      <c r="C5" s="37"/>
      <c r="D5" s="37"/>
      <c r="E5" s="38"/>
    </row>
    <row r="6" spans="1:5" ht="15.75" thickBot="1" x14ac:dyDescent="0.3">
      <c r="A6" s="21" t="s">
        <v>26</v>
      </c>
      <c r="B6" s="39"/>
      <c r="C6" s="40"/>
      <c r="D6" s="40"/>
      <c r="E6" s="41"/>
    </row>
    <row r="7" spans="1:5" ht="15.75" thickBot="1" x14ac:dyDescent="0.3">
      <c r="A7" s="21" t="s">
        <v>27</v>
      </c>
      <c r="B7" s="36"/>
      <c r="C7" s="37"/>
      <c r="D7" s="37"/>
      <c r="E7" s="38"/>
    </row>
    <row r="8" spans="1:5" ht="15.75" thickBot="1" x14ac:dyDescent="0.3">
      <c r="A8" s="21" t="s">
        <v>29</v>
      </c>
      <c r="B8" s="54"/>
      <c r="C8" s="55"/>
      <c r="D8" s="55"/>
      <c r="E8" s="56"/>
    </row>
    <row r="9" spans="1:5" ht="15.75" thickBot="1" x14ac:dyDescent="0.3">
      <c r="A9" s="21" t="s">
        <v>110</v>
      </c>
      <c r="B9" s="36"/>
      <c r="C9" s="37"/>
      <c r="D9" s="37"/>
      <c r="E9" s="38"/>
    </row>
    <row r="10" spans="1:5" ht="15.75" thickBot="1" x14ac:dyDescent="0.3">
      <c r="A10" s="20" t="s">
        <v>129</v>
      </c>
      <c r="B10" s="39"/>
      <c r="C10" s="40"/>
      <c r="D10" s="40"/>
      <c r="E10" s="41"/>
    </row>
    <row r="11" spans="1:5" ht="15.75" thickBot="1" x14ac:dyDescent="0.3">
      <c r="A11" s="21" t="s">
        <v>30</v>
      </c>
      <c r="B11" s="36"/>
      <c r="C11" s="37"/>
      <c r="D11" s="37"/>
      <c r="E11" s="38"/>
    </row>
    <row r="12" spans="1:5" ht="15.75" thickBot="1" x14ac:dyDescent="0.3">
      <c r="A12" s="21" t="s">
        <v>31</v>
      </c>
      <c r="B12" s="36"/>
      <c r="C12" s="37"/>
      <c r="D12" s="37"/>
      <c r="E12" s="38"/>
    </row>
    <row r="13" spans="1:5" ht="15.75" thickBot="1" x14ac:dyDescent="0.3">
      <c r="A13" s="21" t="s">
        <v>32</v>
      </c>
      <c r="B13" s="36"/>
      <c r="C13" s="37"/>
      <c r="D13" s="37"/>
      <c r="E13" s="38"/>
    </row>
    <row r="14" spans="1:5" ht="15.75" thickBot="1" x14ac:dyDescent="0.3">
      <c r="A14" s="21" t="s">
        <v>115</v>
      </c>
      <c r="B14" s="36"/>
      <c r="C14" s="37"/>
      <c r="D14" s="37"/>
      <c r="E14" s="38"/>
    </row>
    <row r="15" spans="1:5" ht="15.75" thickBot="1" x14ac:dyDescent="0.3">
      <c r="A15" s="21" t="s">
        <v>95</v>
      </c>
      <c r="B15" s="36"/>
      <c r="C15" s="37"/>
      <c r="D15" s="37"/>
      <c r="E15" s="38"/>
    </row>
    <row r="16" spans="1:5" ht="15.75" thickBot="1" x14ac:dyDescent="0.3">
      <c r="A16" s="21" t="s">
        <v>34</v>
      </c>
      <c r="B16" s="42"/>
      <c r="C16" s="43"/>
      <c r="D16" s="43"/>
      <c r="E16" s="44"/>
    </row>
    <row r="17" spans="1:5" ht="15.75" thickBot="1" x14ac:dyDescent="0.3">
      <c r="A17" s="21" t="s">
        <v>35</v>
      </c>
      <c r="B17" s="36"/>
      <c r="C17" s="37"/>
      <c r="D17" s="37"/>
      <c r="E17" s="38"/>
    </row>
    <row r="18" spans="1:5" ht="15.75" thickBot="1" x14ac:dyDescent="0.3">
      <c r="A18" s="21" t="s">
        <v>37</v>
      </c>
      <c r="B18" s="36"/>
      <c r="C18" s="37"/>
      <c r="D18" s="37"/>
      <c r="E18" s="38"/>
    </row>
    <row r="19" spans="1:5" ht="15.75" thickBot="1" x14ac:dyDescent="0.3">
      <c r="A19" s="21" t="s">
        <v>39</v>
      </c>
      <c r="B19" s="36"/>
      <c r="C19" s="37"/>
      <c r="D19" s="37"/>
      <c r="E19" s="38"/>
    </row>
    <row r="20" spans="1:5" ht="15.75" thickBot="1" x14ac:dyDescent="0.3">
      <c r="A20" s="21" t="s">
        <v>40</v>
      </c>
      <c r="B20" s="45"/>
      <c r="C20" s="46"/>
      <c r="D20" s="46"/>
      <c r="E20" s="47"/>
    </row>
    <row r="26" spans="1:5" ht="15" customHeight="1" x14ac:dyDescent="0.25">
      <c r="A26" s="164"/>
      <c r="B26" s="164"/>
      <c r="C26" s="164"/>
    </row>
    <row r="27" spans="1:5" x14ac:dyDescent="0.25">
      <c r="A27" s="164"/>
      <c r="B27" s="164"/>
      <c r="C27" s="164"/>
    </row>
    <row r="28" spans="1:5" x14ac:dyDescent="0.25">
      <c r="A28" s="164"/>
      <c r="B28" s="164"/>
      <c r="C28" s="164"/>
    </row>
    <row r="29" spans="1:5" x14ac:dyDescent="0.25">
      <c r="A29" s="164"/>
      <c r="B29" s="164"/>
      <c r="C29" s="164"/>
    </row>
    <row r="30" spans="1:5" x14ac:dyDescent="0.25">
      <c r="A30" s="164"/>
      <c r="B30" s="164"/>
      <c r="C30" s="164"/>
    </row>
    <row r="31" spans="1:5" x14ac:dyDescent="0.25">
      <c r="A31" s="164"/>
      <c r="B31" s="164"/>
      <c r="C31" s="164"/>
    </row>
    <row r="32" spans="1:5" x14ac:dyDescent="0.25">
      <c r="A32" s="164"/>
      <c r="B32" s="164"/>
      <c r="C32" s="164"/>
    </row>
    <row r="33" spans="1:3" x14ac:dyDescent="0.25">
      <c r="A33" s="164"/>
      <c r="B33" s="164"/>
      <c r="C33" s="164"/>
    </row>
    <row r="34" spans="1:3" x14ac:dyDescent="0.25">
      <c r="A34" s="164"/>
      <c r="B34" s="164"/>
      <c r="C34" s="164"/>
    </row>
    <row r="35" spans="1:3" x14ac:dyDescent="0.25">
      <c r="A35" s="164"/>
      <c r="B35" s="164"/>
      <c r="C35" s="164"/>
    </row>
    <row r="36" spans="1:3" x14ac:dyDescent="0.25">
      <c r="A36" s="164"/>
      <c r="B36" s="164"/>
      <c r="C36" s="164"/>
    </row>
    <row r="37" spans="1:3" x14ac:dyDescent="0.25">
      <c r="A37" s="164"/>
      <c r="B37" s="164"/>
      <c r="C37" s="164"/>
    </row>
    <row r="38" spans="1:3" x14ac:dyDescent="0.25">
      <c r="A38" s="164"/>
      <c r="B38" s="164"/>
      <c r="C38" s="164"/>
    </row>
    <row r="39" spans="1:3" x14ac:dyDescent="0.25">
      <c r="A39" s="164"/>
      <c r="B39" s="164"/>
      <c r="C39" s="164"/>
    </row>
    <row r="40" spans="1:3" x14ac:dyDescent="0.25">
      <c r="A40" s="164"/>
      <c r="B40" s="164"/>
      <c r="C40" s="164"/>
    </row>
    <row r="41" spans="1:3" x14ac:dyDescent="0.25">
      <c r="A41" s="164"/>
      <c r="B41" s="164"/>
      <c r="C41" s="164"/>
    </row>
    <row r="42" spans="1:3" x14ac:dyDescent="0.25">
      <c r="A42" s="164"/>
      <c r="B42" s="164"/>
      <c r="C42" s="164"/>
    </row>
    <row r="43" spans="1:3" x14ac:dyDescent="0.25">
      <c r="A43" s="164"/>
      <c r="B43" s="164"/>
      <c r="C43" s="164"/>
    </row>
    <row r="44" spans="1:3" x14ac:dyDescent="0.25">
      <c r="A44" s="164"/>
      <c r="B44" s="164"/>
      <c r="C44" s="164"/>
    </row>
    <row r="45" spans="1:3" x14ac:dyDescent="0.25">
      <c r="A45" s="164"/>
      <c r="B45" s="164"/>
      <c r="C45" s="164"/>
    </row>
    <row r="46" spans="1:3" x14ac:dyDescent="0.25">
      <c r="A46" s="164"/>
      <c r="B46" s="164"/>
      <c r="C46" s="164"/>
    </row>
    <row r="47" spans="1:3" x14ac:dyDescent="0.25">
      <c r="A47" s="164"/>
      <c r="B47" s="164"/>
      <c r="C47" s="164"/>
    </row>
    <row r="48" spans="1:3" x14ac:dyDescent="0.25">
      <c r="A48" s="164"/>
      <c r="B48" s="164"/>
      <c r="C48" s="164"/>
    </row>
    <row r="49" spans="1:3" x14ac:dyDescent="0.25">
      <c r="A49" s="164"/>
      <c r="B49" s="164"/>
      <c r="C49" s="164"/>
    </row>
    <row r="50" spans="1:3" x14ac:dyDescent="0.25">
      <c r="A50" s="164"/>
      <c r="B50" s="164"/>
      <c r="C50" s="164"/>
    </row>
    <row r="51" spans="1:3" x14ac:dyDescent="0.25">
      <c r="A51" s="164"/>
      <c r="B51" s="164"/>
      <c r="C51" s="164"/>
    </row>
    <row r="52" spans="1:3" x14ac:dyDescent="0.25">
      <c r="A52" s="164"/>
      <c r="B52" s="164"/>
      <c r="C52" s="164"/>
    </row>
  </sheetData>
  <sheetProtection sheet="1" objects="1" scenarios="1" selectLockedCells="1" sort="0" autoFilter="0"/>
  <dataValidations count="16">
    <dataValidation type="whole" allowBlank="1" showInputMessage="1" showErrorMessage="1" sqref="B19:E19" xr:uid="{84281486-53F7-4B58-8AC8-7410EF4FB555}">
      <formula1>1</formula1>
      <formula2>9999</formula2>
    </dataValidation>
    <dataValidation type="list" allowBlank="1" showInputMessage="1" showErrorMessage="1" sqref="B7:E7" xr:uid="{E12FC75D-5170-4D7C-8CD0-95C914B72B6B}">
      <formula1>States</formula1>
    </dataValidation>
    <dataValidation type="custom" allowBlank="1" showInputMessage="1" showErrorMessage="1" sqref="E8" xr:uid="{1F0AF202-1672-4BF2-90F5-D4A61E901658}">
      <formula1>AND(IF(LEN($E$8)&gt;5,INT(LEFT($E$8,LEN($E$8)-5)),$E$8)&gt;=501,_xlfn.NUMBERVALUE(SUBSTITUTE($E$8,"-",""))&lt;=999999999)</formula1>
    </dataValidation>
    <dataValidation type="list" allowBlank="1" showInputMessage="1" showErrorMessage="1" sqref="C9:E9 B9" xr:uid="{E8EB4145-215F-46DB-805C-4AFEFD2631A1}">
      <formula1>PortionMark</formula1>
    </dataValidation>
    <dataValidation type="list" allowBlank="1" showInputMessage="1" showErrorMessage="1" sqref="B11:E11" xr:uid="{3BA3641A-85AE-435C-B729-16C97FFB8D9D}">
      <formula1>ClassificationAge</formula1>
    </dataValidation>
    <dataValidation type="list" allowBlank="1" showInputMessage="1" showErrorMessage="1" sqref="B12:E12" xr:uid="{EF94DE9A-ABAA-465E-9A02-522A6A09E26A}">
      <formula1>Classification</formula1>
    </dataValidation>
    <dataValidation type="list" allowBlank="1" showInputMessage="1" showErrorMessage="1" sqref="B13 E13 D13 C13" xr:uid="{9DDAFD75-4A49-47A1-ACED-6632F8333776}">
      <formula1>ClassificationAddendum</formula1>
    </dataValidation>
    <dataValidation type="whole" allowBlank="1" showInputMessage="1" showErrorMessage="1" sqref="B16:E16" xr:uid="{DC009FDF-4AD8-4DED-8BC3-EF299E8EED98}">
      <formula1>100000</formula1>
      <formula2>999999</formula2>
    </dataValidation>
    <dataValidation type="list" errorStyle="warning" allowBlank="1" showInputMessage="1" showErrorMessage="1" sqref="B17:E17" xr:uid="{905FDF4C-8C0B-4E00-8F6A-9EB24D7F3D8D}">
      <formula1>StorageType</formula1>
    </dataValidation>
    <dataValidation type="list" allowBlank="1" showInputMessage="1" showErrorMessage="1" sqref="B18:E18" xr:uid="{8F3F8FFF-EB50-41E8-A4C1-3013B849CDD6}">
      <formula1>StorageScale</formula1>
    </dataValidation>
    <dataValidation type="date" operator="greaterThanOrEqual" allowBlank="1" showInputMessage="1" showErrorMessage="1" promptTitle="Expected Format" prompt="MM/DD/YYYY" sqref="B10" xr:uid="{7B3C6DD2-2017-47E6-AE66-6F33A3EB91E1}">
      <formula1>32874</formula1>
    </dataValidation>
    <dataValidation type="custom" allowBlank="1" showInputMessage="1" showErrorMessage="1" sqref="B8" xr:uid="{44134CEB-552E-4BA6-AD36-33EB9B635E64}">
      <formula1>AND(IF(LEN($B$8)&gt;5,INT(LEFT($B$8,LEN($B$8)-5)),$B$8)&gt;=501,_xlfn.NUMBERVALUE(SUBSTITUTE($B$8,"-",""))&lt;=999999999)</formula1>
    </dataValidation>
    <dataValidation type="custom" allowBlank="1" showInputMessage="1" showErrorMessage="1" sqref="C8" xr:uid="{EF5576F4-338A-4B75-B940-BF7577AD1AD3}">
      <formula1>AND(IF(LEN($C$8)&gt;5,INT(LEFT($C$8,LEN($C$8)-5)),$C$8)&gt;=501,_xlfn.NUMBERVALUE(SUBSTITUTE($C$8,"-",""))&lt;=999999999)</formula1>
    </dataValidation>
    <dataValidation type="custom" allowBlank="1" showInputMessage="1" showErrorMessage="1" sqref="D8" xr:uid="{5790E0A8-BA2B-4FDC-90B0-F369DCF0F5EA}">
      <formula1>AND(IF(LEN($D$8)&gt;5,INT(LEFT($D$8,LEN($D$8)-5)),$D$8)&gt;=501,_xlfn.NUMBERVALUE(SUBSTITUTE($D$8,"-",""))&lt;=999999999)</formula1>
    </dataValidation>
    <dataValidation allowBlank="1" showInputMessage="1" showErrorMessage="1" promptTitle="Expected Format" prompt="MM/DD/YYYY" sqref="C10 D10 E10" xr:uid="{A96AAF3D-E737-4B68-8465-9CED3D53E8B4}"/>
    <dataValidation type="list" allowBlank="1" showInputMessage="1" showErrorMessage="1" sqref="B14 C14 D14 E14" xr:uid="{2DEE0BEA-7810-4F97-AB1C-81075E2B2914}">
      <formula1>ClassificationReason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ChkBx_Toggle_Label_1">
              <controlPr defaultSize="0" autoFill="0" autoLine="0" autoPict="0" macro="[0]!Toggle_Label_1" altText="Toggle Label 1">
                <anchor moveWithCells="1">
                  <from>
                    <xdr:col>1</xdr:col>
                    <xdr:colOff>581025</xdr:colOff>
                    <xdr:row>0</xdr:row>
                    <xdr:rowOff>19050</xdr:rowOff>
                  </from>
                  <to>
                    <xdr:col>1</xdr:col>
                    <xdr:colOff>1809750</xdr:colOff>
                    <xdr:row>0</xdr:row>
                    <xdr:rowOff>180975</xdr:rowOff>
                  </to>
                </anchor>
              </controlPr>
            </control>
          </mc:Choice>
        </mc:AlternateContent>
        <mc:AlternateContent xmlns:mc="http://schemas.openxmlformats.org/markup-compatibility/2006">
          <mc:Choice Requires="x14">
            <control shapeId="1044" r:id="rId5" name="ChkBx_Toggle_Label_2">
              <controlPr defaultSize="0" autoFill="0" autoLine="0" autoPict="0" macro="[0]!Toggle_Label_2" altText="Toggle Label 1">
                <anchor moveWithCells="1">
                  <from>
                    <xdr:col>2</xdr:col>
                    <xdr:colOff>581025</xdr:colOff>
                    <xdr:row>0</xdr:row>
                    <xdr:rowOff>19050</xdr:rowOff>
                  </from>
                  <to>
                    <xdr:col>2</xdr:col>
                    <xdr:colOff>1809750</xdr:colOff>
                    <xdr:row>0</xdr:row>
                    <xdr:rowOff>180975</xdr:rowOff>
                  </to>
                </anchor>
              </controlPr>
            </control>
          </mc:Choice>
        </mc:AlternateContent>
        <mc:AlternateContent xmlns:mc="http://schemas.openxmlformats.org/markup-compatibility/2006">
          <mc:Choice Requires="x14">
            <control shapeId="1045" r:id="rId6" name="ChkBx_Toggle_Label_3">
              <controlPr defaultSize="0" autoFill="0" autoLine="0" autoPict="0" macro="[0]!Toggle_Label_3" altText="Toggle Label 1">
                <anchor moveWithCells="1">
                  <from>
                    <xdr:col>3</xdr:col>
                    <xdr:colOff>581025</xdr:colOff>
                    <xdr:row>0</xdr:row>
                    <xdr:rowOff>19050</xdr:rowOff>
                  </from>
                  <to>
                    <xdr:col>3</xdr:col>
                    <xdr:colOff>1809750</xdr:colOff>
                    <xdr:row>0</xdr:row>
                    <xdr:rowOff>180975</xdr:rowOff>
                  </to>
                </anchor>
              </controlPr>
            </control>
          </mc:Choice>
        </mc:AlternateContent>
        <mc:AlternateContent xmlns:mc="http://schemas.openxmlformats.org/markup-compatibility/2006">
          <mc:Choice Requires="x14">
            <control shapeId="1046" r:id="rId7" name="ChkBx_Toggle_Label_4">
              <controlPr defaultSize="0" autoFill="0" autoLine="0" autoPict="0" macro="[0]!Toggle_Label_4" altText="Toggle Label 1">
                <anchor moveWithCells="1">
                  <from>
                    <xdr:col>4</xdr:col>
                    <xdr:colOff>581025</xdr:colOff>
                    <xdr:row>0</xdr:row>
                    <xdr:rowOff>19050</xdr:rowOff>
                  </from>
                  <to>
                    <xdr:col>4</xdr:col>
                    <xdr:colOff>1809750</xdr:colOff>
                    <xdr:row>0</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AA53"/>
  <sheetViews>
    <sheetView zoomScaleNormal="100" workbookViewId="0">
      <selection activeCell="V51" activeCellId="1" sqref="V39:W39 V51:W51"/>
    </sheetView>
  </sheetViews>
  <sheetFormatPr defaultRowHeight="14.25" x14ac:dyDescent="0.2"/>
  <cols>
    <col min="1" max="1" width="3.7109375" style="22" customWidth="1"/>
    <col min="2" max="2" width="5.28515625" style="22" customWidth="1"/>
    <col min="3" max="3" width="5.5703125" style="22" customWidth="1"/>
    <col min="4" max="4" width="3.85546875" style="22" customWidth="1"/>
    <col min="5" max="5" width="10.42578125" style="22" customWidth="1"/>
    <col min="6" max="6" width="3.7109375" style="22" customWidth="1"/>
    <col min="7" max="7" width="1.7109375" style="22" customWidth="1"/>
    <col min="8" max="8" width="3.7109375" style="22" hidden="1" customWidth="1"/>
    <col min="9" max="9" width="5.28515625" style="22" hidden="1" customWidth="1"/>
    <col min="10" max="10" width="5.5703125" style="22" hidden="1" customWidth="1"/>
    <col min="11" max="11" width="3.85546875" style="22" hidden="1" customWidth="1"/>
    <col min="12" max="12" width="10.42578125" style="22" hidden="1" customWidth="1"/>
    <col min="13" max="13" width="3.7109375" style="22" hidden="1" customWidth="1"/>
    <col min="14" max="14" width="1.7109375" style="22" customWidth="1"/>
    <col min="15" max="15" width="3.7109375" style="22" hidden="1" customWidth="1"/>
    <col min="16" max="16" width="5.28515625" style="22" hidden="1" customWidth="1"/>
    <col min="17" max="17" width="5.5703125" style="22" hidden="1" customWidth="1"/>
    <col min="18" max="18" width="3.85546875" style="22" hidden="1" customWidth="1"/>
    <col min="19" max="19" width="10.42578125" style="22" hidden="1" customWidth="1"/>
    <col min="20" max="20" width="3.7109375" style="22" hidden="1" customWidth="1"/>
    <col min="21" max="21" width="1.7109375" style="22" customWidth="1"/>
    <col min="22" max="22" width="3.7109375" style="22" hidden="1" customWidth="1"/>
    <col min="23" max="23" width="5.28515625" style="22" hidden="1" customWidth="1"/>
    <col min="24" max="24" width="5.5703125" style="22" hidden="1" customWidth="1"/>
    <col min="25" max="25" width="3.85546875" style="22" hidden="1" customWidth="1"/>
    <col min="26" max="26" width="10.42578125" style="22" hidden="1" customWidth="1"/>
    <col min="27" max="27" width="3.7109375" style="22" hidden="1" customWidth="1"/>
    <col min="28" max="16384" width="9.140625" style="22"/>
  </cols>
  <sheetData>
    <row r="1" spans="1:27" ht="32.1" customHeight="1" thickBot="1" x14ac:dyDescent="0.25">
      <c r="A1" s="123" t="str">
        <f>UPPER(TRIM(Values!$B$2))</f>
        <v/>
      </c>
      <c r="B1" s="124"/>
      <c r="C1" s="124"/>
      <c r="D1" s="124"/>
      <c r="E1" s="124"/>
      <c r="F1" s="125"/>
      <c r="H1" s="123" t="str">
        <f>UPPER(TRIM(Values!$C$2))</f>
        <v/>
      </c>
      <c r="I1" s="124"/>
      <c r="J1" s="124"/>
      <c r="K1" s="124"/>
      <c r="L1" s="124"/>
      <c r="M1" s="125"/>
      <c r="O1" s="123" t="str">
        <f>UPPER(TRIM(Values!$D$2))</f>
        <v/>
      </c>
      <c r="P1" s="124"/>
      <c r="Q1" s="124"/>
      <c r="R1" s="124"/>
      <c r="S1" s="124"/>
      <c r="T1" s="125"/>
      <c r="V1" s="123" t="str">
        <f>UPPER(TRIM(Values!$E$2))</f>
        <v/>
      </c>
      <c r="W1" s="124"/>
      <c r="X1" s="124"/>
      <c r="Y1" s="124"/>
      <c r="Z1" s="124"/>
      <c r="AA1" s="125"/>
    </row>
    <row r="2" spans="1:27" ht="3" customHeight="1" x14ac:dyDescent="0.2">
      <c r="A2" s="127"/>
      <c r="B2" s="127"/>
      <c r="C2" s="127"/>
      <c r="D2" s="127"/>
      <c r="E2" s="127"/>
      <c r="F2" s="127"/>
      <c r="H2" s="127"/>
      <c r="I2" s="127"/>
      <c r="J2" s="127"/>
      <c r="K2" s="127"/>
      <c r="L2" s="127"/>
      <c r="M2" s="127"/>
      <c r="O2" s="127"/>
      <c r="P2" s="127"/>
      <c r="Q2" s="127"/>
      <c r="R2" s="127"/>
      <c r="S2" s="127"/>
      <c r="T2" s="127"/>
      <c r="V2" s="127"/>
      <c r="W2" s="127"/>
      <c r="X2" s="127"/>
      <c r="Y2" s="127"/>
      <c r="Z2" s="127"/>
      <c r="AA2" s="127"/>
    </row>
    <row r="3" spans="1:27" ht="3" customHeight="1" thickBot="1" x14ac:dyDescent="0.25">
      <c r="A3" s="133"/>
      <c r="B3" s="133"/>
      <c r="C3" s="133"/>
      <c r="D3" s="133"/>
      <c r="E3" s="133"/>
      <c r="F3" s="133"/>
      <c r="H3" s="133"/>
      <c r="I3" s="133"/>
      <c r="J3" s="133"/>
      <c r="K3" s="133"/>
      <c r="L3" s="133"/>
      <c r="M3" s="133"/>
      <c r="O3" s="133"/>
      <c r="P3" s="133"/>
      <c r="Q3" s="133"/>
      <c r="R3" s="133"/>
      <c r="S3" s="133"/>
      <c r="T3" s="133"/>
      <c r="V3" s="133"/>
      <c r="W3" s="133"/>
      <c r="X3" s="133"/>
      <c r="Y3" s="133"/>
      <c r="Z3" s="133"/>
      <c r="AA3" s="133"/>
    </row>
    <row r="4" spans="1:27" ht="13.5" customHeight="1" x14ac:dyDescent="0.25">
      <c r="A4" s="134" t="str">
        <f>UPPER(TRIM(Values!$B$2))</f>
        <v/>
      </c>
      <c r="B4" s="135"/>
      <c r="C4" s="135"/>
      <c r="D4" s="135"/>
      <c r="E4" s="135"/>
      <c r="F4" s="136"/>
      <c r="H4" s="134" t="str">
        <f>UPPER(TRIM(Values!$C$2))</f>
        <v/>
      </c>
      <c r="I4" s="135"/>
      <c r="J4" s="135"/>
      <c r="K4" s="135"/>
      <c r="L4" s="135"/>
      <c r="M4" s="136"/>
      <c r="O4" s="134" t="str">
        <f>UPPER(TRIM(Values!$D$2))</f>
        <v/>
      </c>
      <c r="P4" s="135"/>
      <c r="Q4" s="135"/>
      <c r="R4" s="135"/>
      <c r="S4" s="135"/>
      <c r="T4" s="136"/>
      <c r="V4" s="134" t="str">
        <f>UPPER(TRIM(Values!$E$2))</f>
        <v/>
      </c>
      <c r="W4" s="135"/>
      <c r="X4" s="135"/>
      <c r="Y4" s="135"/>
      <c r="Z4" s="135"/>
      <c r="AA4" s="136"/>
    </row>
    <row r="5" spans="1:27" ht="33.75" customHeight="1" thickBot="1" x14ac:dyDescent="0.25">
      <c r="A5" s="130" t="str">
        <f>IF(ISBLANK(Values!$B$2),"",CONCATENATE("*",Values!$B$2,"*"))</f>
        <v/>
      </c>
      <c r="B5" s="131"/>
      <c r="C5" s="131"/>
      <c r="D5" s="131"/>
      <c r="E5" s="131"/>
      <c r="F5" s="132"/>
      <c r="H5" s="130" t="str">
        <f>IF(ISBLANK(Values!$C$2),"",CONCATENATE("*",Values!$C$2,"*"))</f>
        <v/>
      </c>
      <c r="I5" s="131"/>
      <c r="J5" s="131"/>
      <c r="K5" s="131"/>
      <c r="L5" s="131"/>
      <c r="M5" s="132"/>
      <c r="O5" s="130" t="str">
        <f>IF(ISBLANK(Values!$D$2),"",CONCATENATE("*",Values!$D$2,"*"))</f>
        <v/>
      </c>
      <c r="P5" s="131"/>
      <c r="Q5" s="131"/>
      <c r="R5" s="131"/>
      <c r="S5" s="131"/>
      <c r="T5" s="132"/>
      <c r="V5" s="130" t="str">
        <f>IF(ISBLANK(Values!$E$2),"",CONCATENATE("*",Values!$E$2,"*"))</f>
        <v/>
      </c>
      <c r="W5" s="131"/>
      <c r="X5" s="131"/>
      <c r="Y5" s="131"/>
      <c r="Z5" s="131"/>
      <c r="AA5" s="132"/>
    </row>
    <row r="6" spans="1:27" ht="3" customHeight="1" x14ac:dyDescent="0.2">
      <c r="A6" s="127"/>
      <c r="B6" s="127"/>
      <c r="C6" s="127"/>
      <c r="D6" s="127"/>
      <c r="E6" s="127"/>
      <c r="F6" s="127"/>
      <c r="H6" s="127"/>
      <c r="I6" s="127"/>
      <c r="J6" s="127"/>
      <c r="K6" s="127"/>
      <c r="L6" s="127"/>
      <c r="M6" s="127"/>
      <c r="O6" s="127"/>
      <c r="P6" s="127"/>
      <c r="Q6" s="127"/>
      <c r="R6" s="127"/>
      <c r="S6" s="127"/>
      <c r="T6" s="127"/>
      <c r="V6" s="127"/>
      <c r="W6" s="127"/>
      <c r="X6" s="127"/>
      <c r="Y6" s="127"/>
      <c r="Z6" s="127"/>
      <c r="AA6" s="127"/>
    </row>
    <row r="7" spans="1:27" ht="3" customHeight="1" thickBot="1" x14ac:dyDescent="0.25">
      <c r="A7" s="129"/>
      <c r="B7" s="129"/>
      <c r="C7" s="129"/>
      <c r="D7" s="129"/>
      <c r="E7" s="129"/>
      <c r="F7" s="129"/>
      <c r="H7" s="129"/>
      <c r="I7" s="129"/>
      <c r="J7" s="129"/>
      <c r="K7" s="129"/>
      <c r="L7" s="129"/>
      <c r="M7" s="129"/>
      <c r="O7" s="129"/>
      <c r="P7" s="129"/>
      <c r="Q7" s="129"/>
      <c r="R7" s="129"/>
      <c r="S7" s="129"/>
      <c r="T7" s="129"/>
      <c r="V7" s="129"/>
      <c r="W7" s="129"/>
      <c r="X7" s="129"/>
      <c r="Y7" s="129"/>
      <c r="Z7" s="129"/>
      <c r="AA7" s="129"/>
    </row>
    <row r="8" spans="1:27" ht="33.950000000000003" customHeight="1" thickBot="1" x14ac:dyDescent="0.25">
      <c r="A8" s="123" t="str">
        <f>UPPER(TRIM(Values!$B$2))</f>
        <v/>
      </c>
      <c r="B8" s="124"/>
      <c r="C8" s="124"/>
      <c r="D8" s="124"/>
      <c r="E8" s="124"/>
      <c r="F8" s="125"/>
      <c r="H8" s="123" t="str">
        <f>UPPER(TRIM(Values!$C$2))</f>
        <v/>
      </c>
      <c r="I8" s="124"/>
      <c r="J8" s="124"/>
      <c r="K8" s="124"/>
      <c r="L8" s="124"/>
      <c r="M8" s="125"/>
      <c r="O8" s="123" t="str">
        <f>UPPER(TRIM(Values!$D$2))</f>
        <v/>
      </c>
      <c r="P8" s="124"/>
      <c r="Q8" s="124"/>
      <c r="R8" s="124"/>
      <c r="S8" s="124"/>
      <c r="T8" s="125"/>
      <c r="V8" s="123" t="str">
        <f>UPPER(TRIM(Values!$E$2))</f>
        <v/>
      </c>
      <c r="W8" s="124"/>
      <c r="X8" s="124"/>
      <c r="Y8" s="124"/>
      <c r="Z8" s="124"/>
      <c r="AA8" s="125"/>
    </row>
    <row r="9" spans="1:27" ht="3" customHeight="1" x14ac:dyDescent="0.2">
      <c r="A9" s="127"/>
      <c r="B9" s="127"/>
      <c r="C9" s="127"/>
      <c r="D9" s="127"/>
      <c r="E9" s="127"/>
      <c r="F9" s="127"/>
      <c r="H9" s="127"/>
      <c r="I9" s="127"/>
      <c r="J9" s="127"/>
      <c r="K9" s="127"/>
      <c r="L9" s="127"/>
      <c r="M9" s="127"/>
      <c r="O9" s="127"/>
      <c r="P9" s="127"/>
      <c r="Q9" s="127"/>
      <c r="R9" s="127"/>
      <c r="S9" s="127"/>
      <c r="T9" s="127"/>
      <c r="V9" s="127"/>
      <c r="W9" s="127"/>
      <c r="X9" s="127"/>
      <c r="Y9" s="127"/>
      <c r="Z9" s="127"/>
      <c r="AA9" s="127"/>
    </row>
    <row r="10" spans="1:27" ht="3" customHeight="1" thickBot="1" x14ac:dyDescent="0.25">
      <c r="A10" s="128"/>
      <c r="B10" s="128"/>
      <c r="C10" s="128"/>
      <c r="D10" s="128"/>
      <c r="E10" s="128"/>
      <c r="F10" s="128"/>
      <c r="H10" s="128"/>
      <c r="I10" s="128"/>
      <c r="J10" s="128"/>
      <c r="K10" s="128"/>
      <c r="L10" s="128"/>
      <c r="M10" s="128"/>
      <c r="O10" s="128"/>
      <c r="P10" s="128"/>
      <c r="Q10" s="128"/>
      <c r="R10" s="128"/>
      <c r="S10" s="128"/>
      <c r="T10" s="128"/>
      <c r="V10" s="128"/>
      <c r="W10" s="128"/>
      <c r="X10" s="128"/>
      <c r="Y10" s="128"/>
      <c r="Z10" s="128"/>
      <c r="AA10" s="128"/>
    </row>
    <row r="11" spans="1:27" ht="33.950000000000003" customHeight="1" thickBot="1" x14ac:dyDescent="0.25">
      <c r="A11" s="123" t="str">
        <f>UPPER(TRIM(Values!$B$2))</f>
        <v/>
      </c>
      <c r="B11" s="124"/>
      <c r="C11" s="124"/>
      <c r="D11" s="124"/>
      <c r="E11" s="124"/>
      <c r="F11" s="125"/>
      <c r="H11" s="123" t="str">
        <f>UPPER(TRIM(Values!$C$2))</f>
        <v/>
      </c>
      <c r="I11" s="124"/>
      <c r="J11" s="124"/>
      <c r="K11" s="124"/>
      <c r="L11" s="124"/>
      <c r="M11" s="125"/>
      <c r="O11" s="123" t="str">
        <f>UPPER(TRIM(Values!$D$2))</f>
        <v/>
      </c>
      <c r="P11" s="124"/>
      <c r="Q11" s="124"/>
      <c r="R11" s="124"/>
      <c r="S11" s="124"/>
      <c r="T11" s="125"/>
      <c r="V11" s="123" t="str">
        <f>UPPER(TRIM(Values!$E$2))</f>
        <v/>
      </c>
      <c r="W11" s="124"/>
      <c r="X11" s="124"/>
      <c r="Y11" s="124"/>
      <c r="Z11" s="124"/>
      <c r="AA11" s="125"/>
    </row>
    <row r="12" spans="1:27" ht="3" customHeight="1" x14ac:dyDescent="0.2">
      <c r="A12" s="126"/>
      <c r="B12" s="126"/>
      <c r="C12" s="126"/>
      <c r="D12" s="126"/>
      <c r="E12" s="126"/>
      <c r="F12" s="126"/>
      <c r="H12" s="126"/>
      <c r="I12" s="126"/>
      <c r="J12" s="126"/>
      <c r="K12" s="126"/>
      <c r="L12" s="126"/>
      <c r="M12" s="126"/>
      <c r="O12" s="126"/>
      <c r="P12" s="126"/>
      <c r="Q12" s="126"/>
      <c r="R12" s="126"/>
      <c r="S12" s="126"/>
      <c r="T12" s="126"/>
      <c r="V12" s="126"/>
      <c r="W12" s="126"/>
      <c r="X12" s="126"/>
      <c r="Y12" s="126"/>
      <c r="Z12" s="126"/>
      <c r="AA12" s="126"/>
    </row>
    <row r="13" spans="1:27" ht="3" customHeight="1" thickBot="1" x14ac:dyDescent="0.25">
      <c r="A13" s="84"/>
      <c r="B13" s="84"/>
      <c r="C13" s="84"/>
      <c r="D13" s="84"/>
      <c r="E13" s="84"/>
      <c r="F13" s="84"/>
      <c r="H13" s="84"/>
      <c r="I13" s="84"/>
      <c r="J13" s="84"/>
      <c r="K13" s="84"/>
      <c r="L13" s="84"/>
      <c r="M13" s="84"/>
      <c r="O13" s="84"/>
      <c r="P13" s="84"/>
      <c r="Q13" s="84"/>
      <c r="R13" s="84"/>
      <c r="S13" s="84"/>
      <c r="T13" s="84"/>
      <c r="V13" s="84"/>
      <c r="W13" s="84"/>
      <c r="X13" s="84"/>
      <c r="Y13" s="84"/>
      <c r="Z13" s="84"/>
      <c r="AA13" s="84"/>
    </row>
    <row r="14" spans="1:27" ht="32.1" customHeight="1" thickBot="1" x14ac:dyDescent="0.25">
      <c r="A14" s="120" t="str">
        <f>UPPER(CONCATENATE(Values!$B$12,Values!$B$13))</f>
        <v/>
      </c>
      <c r="B14" s="121"/>
      <c r="C14" s="121"/>
      <c r="D14" s="121"/>
      <c r="E14" s="121"/>
      <c r="F14" s="122"/>
      <c r="H14" s="120" t="str">
        <f>UPPER(CONCATENATE(Values!$C$12,Values!$C$13))</f>
        <v/>
      </c>
      <c r="I14" s="121"/>
      <c r="J14" s="121"/>
      <c r="K14" s="121"/>
      <c r="L14" s="121"/>
      <c r="M14" s="122"/>
      <c r="O14" s="120" t="str">
        <f>UPPER(CONCATENATE(Values!$D$12,Values!$D$13))</f>
        <v/>
      </c>
      <c r="P14" s="121"/>
      <c r="Q14" s="121"/>
      <c r="R14" s="121"/>
      <c r="S14" s="121"/>
      <c r="T14" s="122"/>
      <c r="V14" s="120" t="str">
        <f>UPPER(CONCATENATE(Values!$E$12,Values!$E$13))</f>
        <v/>
      </c>
      <c r="W14" s="121"/>
      <c r="X14" s="121"/>
      <c r="Y14" s="121"/>
      <c r="Z14" s="121"/>
      <c r="AA14" s="122"/>
    </row>
    <row r="15" spans="1:27" ht="3" customHeight="1" x14ac:dyDescent="0.2">
      <c r="A15" s="110"/>
      <c r="B15" s="110"/>
      <c r="C15" s="110"/>
      <c r="D15" s="110"/>
      <c r="E15" s="110"/>
      <c r="F15" s="110"/>
      <c r="H15" s="110"/>
      <c r="I15" s="110"/>
      <c r="J15" s="110"/>
      <c r="K15" s="110"/>
      <c r="L15" s="110"/>
      <c r="M15" s="110"/>
      <c r="O15" s="110"/>
      <c r="P15" s="110"/>
      <c r="Q15" s="110"/>
      <c r="R15" s="110"/>
      <c r="S15" s="110"/>
      <c r="T15" s="110"/>
      <c r="V15" s="110"/>
      <c r="W15" s="110"/>
      <c r="X15" s="110"/>
      <c r="Y15" s="110"/>
      <c r="Z15" s="110"/>
      <c r="AA15" s="110"/>
    </row>
    <row r="16" spans="1:27" ht="3" customHeight="1" thickBot="1" x14ac:dyDescent="0.25">
      <c r="A16" s="84"/>
      <c r="B16" s="84"/>
      <c r="C16" s="84"/>
      <c r="D16" s="84"/>
      <c r="E16" s="84"/>
      <c r="F16" s="84"/>
      <c r="H16" s="84"/>
      <c r="I16" s="84"/>
      <c r="J16" s="84"/>
      <c r="K16" s="84"/>
      <c r="L16" s="84"/>
      <c r="M16" s="84"/>
      <c r="O16" s="84"/>
      <c r="P16" s="84"/>
      <c r="Q16" s="84"/>
      <c r="R16" s="84"/>
      <c r="S16" s="84"/>
      <c r="T16" s="84"/>
      <c r="V16" s="84"/>
      <c r="W16" s="84"/>
      <c r="X16" s="84"/>
      <c r="Y16" s="84"/>
      <c r="Z16" s="84"/>
      <c r="AA16" s="84"/>
    </row>
    <row r="17" spans="1:27" ht="15" customHeight="1" thickBot="1" x14ac:dyDescent="0.25">
      <c r="A17" s="85" t="str">
        <f ca="1">IF(ISBLANK(Values!$B$12),"",IF(ISBLANK(Values!$B$10),TRIM(UPPER(CONCATENATE(Values!$B$12,Values!$B$13,"//"&amp;TEXT(TODAY(),"yyyymmdd")))),TRIM(UPPER(CONCATENATE(Values!$B$12,Values!$B$13,"//"&amp;TEXT(Values!$B$10,"yyyymmdd"))))))</f>
        <v/>
      </c>
      <c r="B17" s="86"/>
      <c r="C17" s="86"/>
      <c r="D17" s="86"/>
      <c r="E17" s="86"/>
      <c r="F17" s="87"/>
      <c r="H17" s="85" t="str">
        <f ca="1">IF(ISBLANK(Values!$C$12),"",IF(ISBLANK(Values!$C$10),TRIM(UPPER(CONCATENATE(Values!$C$12,Values!$C$13,"//"&amp;TEXT(TODAY(),"yyyymmdd")))),TRIM(UPPER(CONCATENATE(Values!$C$12,Values!$C$13,"//"&amp;TEXT(Values!$C$10,"yyyymmdd"))))))</f>
        <v/>
      </c>
      <c r="I17" s="86"/>
      <c r="J17" s="86"/>
      <c r="K17" s="86"/>
      <c r="L17" s="86"/>
      <c r="M17" s="87"/>
      <c r="O17" s="85" t="str">
        <f ca="1">IF(ISBLANK(Values!$D$12),"",IF(ISBLANK(Values!$D$10),TRIM(UPPER(CONCATENATE(Values!$D$12,Values!$D$13,"//"&amp;TEXT(TODAY(),"yyyymmdd")))),TRIM(UPPER(CONCATENATE(Values!$D$12,Values!$D$13,"//"&amp;TEXT(Values!$D$10,"yyyymmdd"))))))</f>
        <v/>
      </c>
      <c r="P17" s="86"/>
      <c r="Q17" s="86"/>
      <c r="R17" s="86"/>
      <c r="S17" s="86"/>
      <c r="T17" s="87"/>
      <c r="V17" s="85" t="str">
        <f ca="1">IF(ISBLANK(Values!$E$12),"",IF(ISBLANK(Values!$E$10),TRIM(UPPER(CONCATENATE(Values!$E$12,Values!$E$13,"//"&amp;TEXT(TODAY(),"yyyymmdd")))),TRIM(UPPER(CONCATENATE(Values!$E$12,Values!$E$13,"//"&amp;TEXT(Values!$E$10,"yyyymmdd"))))))</f>
        <v/>
      </c>
      <c r="W17" s="86"/>
      <c r="X17" s="86"/>
      <c r="Y17" s="86"/>
      <c r="Z17" s="86"/>
      <c r="AA17" s="87"/>
    </row>
    <row r="18" spans="1:27" ht="6.95" customHeight="1" x14ac:dyDescent="0.2">
      <c r="A18" s="78" t="str">
        <f>TRIM(Values!$B$4)</f>
        <v/>
      </c>
      <c r="B18" s="79"/>
      <c r="C18" s="79"/>
      <c r="D18" s="79"/>
      <c r="E18" s="79"/>
      <c r="F18" s="80"/>
      <c r="H18" s="78" t="str">
        <f>TRIM(Values!$C$4)</f>
        <v/>
      </c>
      <c r="I18" s="79"/>
      <c r="J18" s="79"/>
      <c r="K18" s="79"/>
      <c r="L18" s="79"/>
      <c r="M18" s="80"/>
      <c r="O18" s="78" t="str">
        <f>TRIM(Values!$D$4)</f>
        <v/>
      </c>
      <c r="P18" s="79"/>
      <c r="Q18" s="79"/>
      <c r="R18" s="79"/>
      <c r="S18" s="79"/>
      <c r="T18" s="80"/>
      <c r="V18" s="78" t="str">
        <f>TRIM(Values!$E$4)</f>
        <v/>
      </c>
      <c r="W18" s="79"/>
      <c r="X18" s="79"/>
      <c r="Y18" s="79"/>
      <c r="Z18" s="79"/>
      <c r="AA18" s="80"/>
    </row>
    <row r="19" spans="1:27" ht="6.95" customHeight="1" x14ac:dyDescent="0.2">
      <c r="A19" s="81" t="str">
        <f>IF(OR(ISBLANK(Values!$B$5),ISBLANK(Values!$B$6),ISBLANK(Values!$B$7),ISBLANK(Values!$B$8)),"",TRIM(CONCATENATE(Values!$B$5," ▪ ",Values!$B$6,", ",Values!$B$7," ",Values!$B$8)))</f>
        <v/>
      </c>
      <c r="B19" s="82"/>
      <c r="C19" s="82"/>
      <c r="D19" s="82"/>
      <c r="E19" s="82"/>
      <c r="F19" s="83"/>
      <c r="H19" s="81" t="str">
        <f>IF(OR(ISBLANK(Values!$C$5),ISBLANK(Values!$C$6),ISBLANK(Values!$C$7),ISBLANK(Values!$C$8)),"",TRIM(CONCATENATE(Values!$C$5," ▪ ",Values!$C$6,", ",Values!$C$7," ",Values!$C$8)))</f>
        <v/>
      </c>
      <c r="I19" s="82"/>
      <c r="J19" s="82"/>
      <c r="K19" s="82"/>
      <c r="L19" s="82"/>
      <c r="M19" s="83"/>
      <c r="O19" s="81" t="str">
        <f>IF(OR(ISBLANK(Values!$D$5),ISBLANK(Values!$D$6),ISBLANK(Values!$D$7),ISBLANK(Values!$D$8)),"",TRIM(CONCATENATE(Values!$D$5," ▪ ",Values!$D$6,", ",Values!$D$7," ",Values!$D$8)))</f>
        <v/>
      </c>
      <c r="P19" s="82"/>
      <c r="Q19" s="82"/>
      <c r="R19" s="82"/>
      <c r="S19" s="82"/>
      <c r="T19" s="83"/>
      <c r="V19" s="81" t="str">
        <f>IF(OR(ISBLANK(Values!$E$5),ISBLANK(Values!$E$6),ISBLANK(Values!$E$7),ISBLANK(Values!$E$8)),"",TRIM(CONCATENATE(Values!$E$5," ▪ ",Values!$E$6,", ",Values!$E$7," ",Values!$E$8)))</f>
        <v/>
      </c>
      <c r="W19" s="82"/>
      <c r="X19" s="82"/>
      <c r="Y19" s="82"/>
      <c r="Z19" s="82"/>
      <c r="AA19" s="83"/>
    </row>
    <row r="20" spans="1:27" ht="9.9499999999999993" customHeight="1" x14ac:dyDescent="0.2">
      <c r="A20" s="23" t="s">
        <v>15</v>
      </c>
      <c r="B20" s="102" t="str">
        <f>IF(OR(ISBLANK(Values!$B$9),ISBLANK(Values!$B$17),ISBLANK(Values!$B$18),ISBLANK(Values!$B$19),ISBLANK(Values!$B$20)),"",TRIM(CONCATENATE(Values!$B$9," ",Values!$B$17,"; ",Values!$B$19," ",Values!$B$18,"; ",(UPPER(Values!$B$20)))))</f>
        <v/>
      </c>
      <c r="C20" s="102"/>
      <c r="D20" s="102"/>
      <c r="E20" s="102"/>
      <c r="F20" s="103"/>
      <c r="H20" s="23" t="s">
        <v>15</v>
      </c>
      <c r="I20" s="102" t="str">
        <f>IF(OR(ISBLANK(Values!$C$9),ISBLANK(Values!$C$17),ISBLANK(Values!$C$18),ISBLANK(Values!$C$19),ISBLANK(Values!$C$20)),"",TRIM(CONCATENATE(Values!$C$9," ",Values!$C$17,"; ",Values!$C$19," ",Values!$C$18,"; ",(UPPER(Values!$C$20)))))</f>
        <v/>
      </c>
      <c r="J20" s="102"/>
      <c r="K20" s="102"/>
      <c r="L20" s="102"/>
      <c r="M20" s="103"/>
      <c r="O20" s="23" t="s">
        <v>15</v>
      </c>
      <c r="P20" s="102" t="str">
        <f>IF(OR(ISBLANK(Values!$D$9),ISBLANK(Values!$D$17),ISBLANK(Values!$D$18),ISBLANK(Values!$D$19),ISBLANK(Values!$D$20)),"",TRIM(CONCATENATE(Values!$D$9," ",Values!$D$17,"; ",Values!$D$19," ",Values!$D$18,"; ",(UPPER(Values!$D$20)))))</f>
        <v/>
      </c>
      <c r="Q20" s="102"/>
      <c r="R20" s="102"/>
      <c r="S20" s="102"/>
      <c r="T20" s="103"/>
      <c r="V20" s="23" t="s">
        <v>15</v>
      </c>
      <c r="W20" s="102" t="str">
        <f>IF(OR(ISBLANK(Values!$E$9),ISBLANK(Values!$E$17),ISBLANK(Values!$E$18),ISBLANK(Values!$E$19),ISBLANK(Values!$E$20)),"",TRIM(CONCATENATE(Values!$E$9," ",Values!$E$17,"; ",Values!$E$19," ",Values!$E$18,"; ",(UPPER(Values!$E$20)))))</f>
        <v/>
      </c>
      <c r="X20" s="102"/>
      <c r="Y20" s="102"/>
      <c r="Z20" s="102"/>
      <c r="AA20" s="103"/>
    </row>
    <row r="21" spans="1:27" ht="12" customHeight="1" x14ac:dyDescent="0.2">
      <c r="A21" s="24" t="s">
        <v>16</v>
      </c>
      <c r="B21" s="104" t="str">
        <f ca="1">IF(ISBLANK(Values!$B$10),TEXT(TODAY(),"yyyymmdd"),TEXT(Values!$B$10,"yyyymmdd"))</f>
        <v>20230118</v>
      </c>
      <c r="C21" s="104"/>
      <c r="D21" s="117" t="s">
        <v>17</v>
      </c>
      <c r="E21" s="117"/>
      <c r="F21" s="118"/>
      <c r="H21" s="24" t="s">
        <v>16</v>
      </c>
      <c r="I21" s="104" t="str">
        <f ca="1">IF(ISBLANK(Values!$C$10),TEXT(TODAY(),"yyyymmdd"),TEXT(Values!$C$10,"yyyymmdd"))</f>
        <v>20230118</v>
      </c>
      <c r="J21" s="104"/>
      <c r="K21" s="117" t="s">
        <v>17</v>
      </c>
      <c r="L21" s="117"/>
      <c r="M21" s="118"/>
      <c r="O21" s="24" t="s">
        <v>16</v>
      </c>
      <c r="P21" s="104" t="str">
        <f ca="1">IF(ISBLANK(Values!$D$10),TEXT(TODAY(),"yyyymmdd"),TEXT(Values!$D$10,"yyyymmdd"))</f>
        <v>20230118</v>
      </c>
      <c r="Q21" s="104"/>
      <c r="R21" s="117" t="s">
        <v>17</v>
      </c>
      <c r="S21" s="117"/>
      <c r="T21" s="118"/>
      <c r="V21" s="24" t="s">
        <v>16</v>
      </c>
      <c r="W21" s="104" t="str">
        <f ca="1">IF(ISBLANK(Values!$E$10),TEXT(TODAY(),"yyyymmdd"),TEXT(Values!$E$10,"yyyymmdd"))</f>
        <v>20230118</v>
      </c>
      <c r="X21" s="104"/>
      <c r="Y21" s="117" t="s">
        <v>17</v>
      </c>
      <c r="Z21" s="117"/>
      <c r="AA21" s="118"/>
    </row>
    <row r="22" spans="1:27" ht="9.9499999999999993" customHeight="1" x14ac:dyDescent="0.2">
      <c r="A22" s="97" t="s">
        <v>18</v>
      </c>
      <c r="B22" s="98"/>
      <c r="C22" s="99" t="str">
        <f>IF(AND(ISBLANK(Values!$B$15),ISBLANK(Values!$B$16)),"",IF(AND(ISBLANK(Values!$B$15),Values!$B$16&lt;&gt;""),Values!$B$16,IF(AND(Values!$B$15&lt;&gt;"",ISBLANK(Values!$B$16)),Values!$B$15,TRIM(CONCATENATE(Values!$B$15," (",Values!$B$16,")")))))</f>
        <v/>
      </c>
      <c r="D22" s="101"/>
      <c r="E22" s="101"/>
      <c r="F22" s="25"/>
      <c r="H22" s="97" t="s">
        <v>18</v>
      </c>
      <c r="I22" s="98"/>
      <c r="J22" s="99" t="str">
        <f>IF(AND(ISBLANK(Values!$C$15),ISBLANK(Values!$C$16)),"",IF(AND(ISBLANK(Values!$C$15),Values!$C$16&lt;&gt;""),Values!$C$16,IF(AND(Values!$C$15&lt;&gt;"",ISBLANK(Values!$C$16)),Values!$C$15,TRIM(CONCATENATE(Values!$C$15," (",Values!$C$16,")")))))</f>
        <v/>
      </c>
      <c r="K22" s="101"/>
      <c r="L22" s="101"/>
      <c r="M22" s="25"/>
      <c r="O22" s="97" t="s">
        <v>18</v>
      </c>
      <c r="P22" s="98"/>
      <c r="Q22" s="99" t="str">
        <f>IF(AND(ISBLANK(Values!$D$15),ISBLANK(Values!$D$16)),"",IF(AND(ISBLANK(Values!$D$15),Values!$D$16&lt;&gt;""),Values!$D$16,IF(AND(Values!$D$15&lt;&gt;"",ISBLANK(Values!$D$16)),Values!$D$15,TRIM(CONCATENATE(Values!$D$15," (",Values!$D$16,")")))))</f>
        <v/>
      </c>
      <c r="R22" s="101"/>
      <c r="S22" s="101"/>
      <c r="T22" s="25"/>
      <c r="V22" s="97" t="s">
        <v>18</v>
      </c>
      <c r="W22" s="98"/>
      <c r="X22" s="99" t="str">
        <f>IF(AND(ISBLANK(Values!$E$15),ISBLANK(Values!$E$16)),"",IF(AND(ISBLANK(Values!$E$15),Values!$E$16&lt;&gt;""),Values!$E$16,IF(AND(Values!$E$15&lt;&gt;"",ISBLANK(Values!$E$16)),Values!$E$15,TRIM(CONCATENATE(Values!$E$15," (",Values!$E$16,")")))))</f>
        <v/>
      </c>
      <c r="Y22" s="101"/>
      <c r="Z22" s="101"/>
      <c r="AA22" s="25"/>
    </row>
    <row r="23" spans="1:27" ht="9.9499999999999993" customHeight="1" x14ac:dyDescent="0.2">
      <c r="A23" s="97" t="s">
        <v>19</v>
      </c>
      <c r="B23" s="98"/>
      <c r="C23" s="99" t="str">
        <f>IF(ISBLANK(Values!$B$3),"",TRIM(CONCATENATE(Values!$B$3," Dated ",$B$21)))</f>
        <v/>
      </c>
      <c r="D23" s="99"/>
      <c r="E23" s="99"/>
      <c r="F23" s="26"/>
      <c r="H23" s="97" t="s">
        <v>19</v>
      </c>
      <c r="I23" s="98"/>
      <c r="J23" s="99" t="str">
        <f>IF(ISBLANK(Values!$C$3),"",TRIM(CONCATENATE(Values!$C$3," Dated ",$C$21)))</f>
        <v/>
      </c>
      <c r="K23" s="99"/>
      <c r="L23" s="99"/>
      <c r="M23" s="26"/>
      <c r="O23" s="97" t="s">
        <v>19</v>
      </c>
      <c r="P23" s="98"/>
      <c r="Q23" s="99" t="str">
        <f>IF(ISBLANK(Values!$D$3),"",TRIM(CONCATENATE(Values!$D$3," Dated ",$D$21)))</f>
        <v/>
      </c>
      <c r="R23" s="99"/>
      <c r="S23" s="99"/>
      <c r="T23" s="26"/>
      <c r="V23" s="97" t="s">
        <v>19</v>
      </c>
      <c r="W23" s="98"/>
      <c r="X23" s="99" t="str">
        <f>IF(ISBLANK(Values!$E$3),"",TRIM(CONCATENATE(Values!$E$3," Dated ",$E$21)))</f>
        <v/>
      </c>
      <c r="Y23" s="99"/>
      <c r="Z23" s="99"/>
      <c r="AA23" s="26"/>
    </row>
    <row r="24" spans="1:27" ht="8.1" customHeight="1" x14ac:dyDescent="0.2">
      <c r="A24" s="97" t="s">
        <v>20</v>
      </c>
      <c r="B24" s="98"/>
      <c r="C24" s="99" t="str">
        <f ca="1">IF(ISBLANK(Values!$B$10),TEXT(TODAY(),"yyyymmdd"),TEXT(Values!$B$10,"yyyymmdd"))</f>
        <v>20230118</v>
      </c>
      <c r="D24" s="99"/>
      <c r="E24" s="99"/>
      <c r="F24" s="100"/>
      <c r="H24" s="97" t="s">
        <v>20</v>
      </c>
      <c r="I24" s="98"/>
      <c r="J24" s="99" t="str">
        <f ca="1">IF(ISBLANK(Values!$C$10),TEXT(TODAY(),"yyyymmdd"),TEXT(Values!$C$10,"yyyymmdd"))</f>
        <v>20230118</v>
      </c>
      <c r="K24" s="99"/>
      <c r="L24" s="99"/>
      <c r="M24" s="100"/>
      <c r="O24" s="97" t="s">
        <v>20</v>
      </c>
      <c r="P24" s="98"/>
      <c r="Q24" s="99" t="str">
        <f ca="1">IF(ISBLANK(Values!$D$10),TEXT(TODAY(),"yyyymmdd"),TEXT(Values!$D$10,"yyyymmdd"))</f>
        <v>20230118</v>
      </c>
      <c r="R24" s="99"/>
      <c r="S24" s="99"/>
      <c r="T24" s="100"/>
      <c r="V24" s="97" t="s">
        <v>20</v>
      </c>
      <c r="W24" s="98"/>
      <c r="X24" s="99" t="str">
        <f ca="1">IF(ISBLANK(Values!$E$10),TEXT(TODAY(),"yyyymmdd"),TEXT(Values!$E$10,"yyyymmdd"))</f>
        <v>20230118</v>
      </c>
      <c r="Y24" s="99"/>
      <c r="Z24" s="99"/>
      <c r="AA24" s="100"/>
    </row>
    <row r="25" spans="1:27" ht="8.1" customHeight="1" thickBot="1" x14ac:dyDescent="0.25">
      <c r="A25" s="162" t="str">
        <f>IF(ISBLANK(Values!$B$14),"Reason: ",TRIM(CONCATENATE("Reason: ",Values!$B$14)))</f>
        <v xml:space="preserve">Reason: </v>
      </c>
      <c r="B25" s="163"/>
      <c r="C25" s="94" t="s">
        <v>21</v>
      </c>
      <c r="D25" s="94"/>
      <c r="E25" s="95" t="str">
        <f ca="1">IF(ISBLANK(Values!$B$11),"",IF(ISBLANK(Values!$B$10),TEXT(DATE(YEAR(TODAY())+Values!$B$11,MONTH(TODAY()),DAY(TODAY())),"yyyymmdd"),TEXT(DATE(YEAR(Values!$B$10)+Values!$B$11,MONTH(Values!$B$10),DAY(Values!$B$10)),"yyyymmdd")))</f>
        <v/>
      </c>
      <c r="F25" s="96"/>
      <c r="H25" s="162" t="str">
        <f>IF(ISBLANK(Values!$C$14),"Reason: ",TRIM(CONCATENATE("Reason: ",Values!$C$14)))</f>
        <v xml:space="preserve">Reason: </v>
      </c>
      <c r="I25" s="163"/>
      <c r="J25" s="94" t="s">
        <v>21</v>
      </c>
      <c r="K25" s="94"/>
      <c r="L25" s="95" t="str">
        <f ca="1">IF(ISBLANK(Values!$C$11),"",IF(ISBLANK(Values!$C$10),TEXT(DATE(YEAR(TODAY())+Values!$C$11,MONTH(TODAY()),DAY(TODAY())),"yyyymmdd"),TEXT(DATE(YEAR(Values!$C$10)+Values!$C$11,MONTH(Values!$C$10),DAY(Values!$C$10)),"yyyymmdd")))</f>
        <v/>
      </c>
      <c r="M25" s="96"/>
      <c r="O25" s="162" t="str">
        <f>IF(ISBLANK(Values!$D$14),"Reason: ",TRIM(CONCATENATE("Reason: ",Values!$D$14)))</f>
        <v xml:space="preserve">Reason: </v>
      </c>
      <c r="P25" s="163"/>
      <c r="Q25" s="94" t="s">
        <v>21</v>
      </c>
      <c r="R25" s="94"/>
      <c r="S25" s="95" t="str">
        <f ca="1">IF(ISBLANK(Values!$D$11),"",IF(ISBLANK(Values!$D$10),TEXT(DATE(YEAR(TODAY())+Values!$D$11,MONTH(TODAY()),DAY(TODAY())),"yyyymmdd"),TEXT(DATE(YEAR(Values!$D$10)+Values!$D$11,MONTH(Values!$D$10),DAY(Values!$D$10)),"yyyymmdd")))</f>
        <v/>
      </c>
      <c r="T25" s="96"/>
      <c r="V25" s="162" t="str">
        <f>IF(ISBLANK(Values!$E$14),"Reason: ",TRIM(CONCATENATE("Reason: ",Values!$E$14)))</f>
        <v xml:space="preserve">Reason: </v>
      </c>
      <c r="W25" s="163"/>
      <c r="X25" s="94" t="s">
        <v>21</v>
      </c>
      <c r="Y25" s="94"/>
      <c r="Z25" s="95" t="str">
        <f ca="1">IF(ISBLANK(Values!$E$11),"",IF(ISBLANK(Values!$E$10),TEXT(DATE(YEAR(TODAY())+Values!$E$11,MONTH(TODAY()),DAY(TODAY())),"yyyymmdd"),TEXT(DATE(YEAR(Values!$E$10)+Values!$E$11,MONTH(Values!$E$10),DAY(Values!$E$10)),"yyyymmdd")))</f>
        <v/>
      </c>
      <c r="AA25" s="96"/>
    </row>
    <row r="26" spans="1:27" s="27" customFormat="1" ht="11.1" customHeight="1" thickBot="1" x14ac:dyDescent="0.25">
      <c r="A26" s="107" t="s">
        <v>22</v>
      </c>
      <c r="B26" s="108"/>
      <c r="C26" s="108"/>
      <c r="D26" s="108"/>
      <c r="E26" s="108"/>
      <c r="F26" s="109"/>
      <c r="H26" s="107" t="s">
        <v>22</v>
      </c>
      <c r="I26" s="108"/>
      <c r="J26" s="108"/>
      <c r="K26" s="108"/>
      <c r="L26" s="108"/>
      <c r="M26" s="109"/>
      <c r="O26" s="107" t="s">
        <v>22</v>
      </c>
      <c r="P26" s="108"/>
      <c r="Q26" s="108"/>
      <c r="R26" s="108"/>
      <c r="S26" s="108"/>
      <c r="T26" s="109"/>
      <c r="V26" s="107" t="s">
        <v>22</v>
      </c>
      <c r="W26" s="108"/>
      <c r="X26" s="108"/>
      <c r="Y26" s="108"/>
      <c r="Z26" s="108"/>
      <c r="AA26" s="109"/>
    </row>
    <row r="27" spans="1:27" ht="3" customHeight="1" x14ac:dyDescent="0.2">
      <c r="A27" s="119"/>
      <c r="B27" s="119"/>
      <c r="C27" s="119"/>
      <c r="D27" s="119"/>
      <c r="E27" s="119"/>
      <c r="F27" s="119"/>
      <c r="H27" s="119"/>
      <c r="I27" s="119"/>
      <c r="J27" s="119"/>
      <c r="K27" s="119"/>
      <c r="L27" s="119"/>
      <c r="M27" s="119"/>
      <c r="O27" s="119"/>
      <c r="P27" s="119"/>
      <c r="Q27" s="119"/>
      <c r="R27" s="119"/>
      <c r="S27" s="119"/>
      <c r="T27" s="119"/>
      <c r="V27" s="119"/>
      <c r="W27" s="119"/>
      <c r="X27" s="119"/>
      <c r="Y27" s="119"/>
      <c r="Z27" s="119"/>
      <c r="AA27" s="119"/>
    </row>
    <row r="28" spans="1:27" ht="3" customHeight="1" thickBot="1" x14ac:dyDescent="0.25">
      <c r="A28" s="84"/>
      <c r="B28" s="84"/>
      <c r="C28" s="84"/>
      <c r="D28" s="84"/>
      <c r="E28" s="84"/>
      <c r="F28" s="84"/>
      <c r="H28" s="84"/>
      <c r="I28" s="84"/>
      <c r="J28" s="84"/>
      <c r="K28" s="84"/>
      <c r="L28" s="84"/>
      <c r="M28" s="84"/>
      <c r="O28" s="84"/>
      <c r="P28" s="84"/>
      <c r="Q28" s="84"/>
      <c r="R28" s="84"/>
      <c r="S28" s="84"/>
      <c r="T28" s="84"/>
      <c r="V28" s="84"/>
      <c r="W28" s="84"/>
      <c r="X28" s="84"/>
      <c r="Y28" s="84"/>
      <c r="Z28" s="84"/>
      <c r="AA28" s="84"/>
    </row>
    <row r="29" spans="1:27" ht="12.95" customHeight="1" thickBot="1" x14ac:dyDescent="0.25">
      <c r="A29" s="85" t="str">
        <f ca="1">IF(ISBLANK(Values!$B$12),"",IF(ISBLANK(Values!$B$10),TRIM(UPPER(CONCATENATE(Values!$B$12,Values!$B$13,"//"&amp;TEXT(TODAY(),"yyyymmdd")))),TRIM(UPPER(CONCATENATE(Values!$B$12,Values!$B$13,"//"&amp;TEXT(Values!$B$10,"yyyymmdd"))))))</f>
        <v/>
      </c>
      <c r="B29" s="86"/>
      <c r="C29" s="86"/>
      <c r="D29" s="86"/>
      <c r="E29" s="86"/>
      <c r="F29" s="87"/>
      <c r="H29" s="85" t="str">
        <f ca="1">IF(ISBLANK(Values!$C$12),"",IF(ISBLANK(Values!$C$10),TRIM(UPPER(CONCATENATE(Values!$C$12,Values!$C$13,"//"&amp;TEXT(TODAY(),"yyyymmdd")))),TRIM(UPPER(CONCATENATE(Values!$C$12,Values!$C$13,"//"&amp;TEXT(Values!$C$10,"yyyymmdd"))))))</f>
        <v/>
      </c>
      <c r="I29" s="86"/>
      <c r="J29" s="86"/>
      <c r="K29" s="86"/>
      <c r="L29" s="86"/>
      <c r="M29" s="87"/>
      <c r="O29" s="85" t="str">
        <f ca="1">IF(ISBLANK(Values!$D$12),"",IF(ISBLANK(Values!$D$10),TRIM(UPPER(CONCATENATE(Values!$D$12,Values!$D$13,"//"&amp;TEXT(TODAY(),"yyyymmdd")))),TRIM(UPPER(CONCATENATE(Values!$D$12,Values!$D$13,"//"&amp;TEXT(Values!$D$10,"yyyymmdd"))))))</f>
        <v/>
      </c>
      <c r="P29" s="86"/>
      <c r="Q29" s="86"/>
      <c r="R29" s="86"/>
      <c r="S29" s="86"/>
      <c r="T29" s="87"/>
      <c r="V29" s="85" t="str">
        <f ca="1">IF(ISBLANK(Values!$E$12),"",IF(ISBLANK(Values!$E$10),TRIM(UPPER(CONCATENATE(Values!$E$12,Values!$E$13,"//"&amp;TEXT(TODAY(),"yyyymmdd")))),TRIM(UPPER(CONCATENATE(Values!$E$12,Values!$E$13,"//"&amp;TEXT(Values!$E$10,"yyyymmdd"))))))</f>
        <v/>
      </c>
      <c r="W29" s="86"/>
      <c r="X29" s="86"/>
      <c r="Y29" s="86"/>
      <c r="Z29" s="86"/>
      <c r="AA29" s="87"/>
    </row>
    <row r="30" spans="1:27" ht="6.95" customHeight="1" x14ac:dyDescent="0.2">
      <c r="A30" s="78" t="str">
        <f>TRIM(Values!$B$4)</f>
        <v/>
      </c>
      <c r="B30" s="79"/>
      <c r="C30" s="79"/>
      <c r="D30" s="79"/>
      <c r="E30" s="79"/>
      <c r="F30" s="80"/>
      <c r="H30" s="78" t="str">
        <f>TRIM(Values!$C$4)</f>
        <v/>
      </c>
      <c r="I30" s="79"/>
      <c r="J30" s="79"/>
      <c r="K30" s="79"/>
      <c r="L30" s="79"/>
      <c r="M30" s="80"/>
      <c r="O30" s="78" t="str">
        <f>TRIM(Values!$D$4)</f>
        <v/>
      </c>
      <c r="P30" s="79"/>
      <c r="Q30" s="79"/>
      <c r="R30" s="79"/>
      <c r="S30" s="79"/>
      <c r="T30" s="80"/>
      <c r="V30" s="78" t="str">
        <f>TRIM(Values!$E$4)</f>
        <v/>
      </c>
      <c r="W30" s="79"/>
      <c r="X30" s="79"/>
      <c r="Y30" s="79"/>
      <c r="Z30" s="79"/>
      <c r="AA30" s="80"/>
    </row>
    <row r="31" spans="1:27" ht="6.95" customHeight="1" x14ac:dyDescent="0.2">
      <c r="A31" s="81" t="str">
        <f>IF(OR(ISBLANK(Values!$B$5),ISBLANK(Values!$B$6),ISBLANK(Values!$B$7),ISBLANK(Values!$B$8)),"",TRIM(CONCATENATE(Values!$B$5," ▪ ",Values!$B$6,", ",Values!$B$7," ",Values!$B$8)))</f>
        <v/>
      </c>
      <c r="B31" s="82"/>
      <c r="C31" s="82"/>
      <c r="D31" s="82"/>
      <c r="E31" s="82"/>
      <c r="F31" s="83"/>
      <c r="H31" s="81" t="str">
        <f>IF(OR(ISBLANK(Values!$C$5),ISBLANK(Values!$C$6),ISBLANK(Values!$C$7),ISBLANK(Values!$C$8)),"",TRIM(CONCATENATE(Values!$C$5," ▪ ",Values!$C$6,", ",Values!$C$7," ",Values!$C$8)))</f>
        <v/>
      </c>
      <c r="I31" s="82"/>
      <c r="J31" s="82"/>
      <c r="K31" s="82"/>
      <c r="L31" s="82"/>
      <c r="M31" s="83"/>
      <c r="O31" s="81" t="str">
        <f>IF(OR(ISBLANK(Values!$D$5),ISBLANK(Values!$D$6),ISBLANK(Values!$D$7),ISBLANK(Values!$D$8)),"",TRIM(CONCATENATE(Values!$D$5," ▪ ",Values!$D$6,", ",Values!$D$7," ",Values!$D$8)))</f>
        <v/>
      </c>
      <c r="P31" s="82"/>
      <c r="Q31" s="82"/>
      <c r="R31" s="82"/>
      <c r="S31" s="82"/>
      <c r="T31" s="83"/>
      <c r="V31" s="81" t="str">
        <f>IF(OR(ISBLANK(Values!$E$5),ISBLANK(Values!$E$6),ISBLANK(Values!$E$7),ISBLANK(Values!$E$8)),"",TRIM(CONCATENATE(Values!$E$5," ▪ ",Values!$E$6,", ",Values!$E$7," ",Values!$E$8)))</f>
        <v/>
      </c>
      <c r="W31" s="82"/>
      <c r="X31" s="82"/>
      <c r="Y31" s="82"/>
      <c r="Z31" s="82"/>
      <c r="AA31" s="83"/>
    </row>
    <row r="32" spans="1:27" ht="9.9499999999999993" customHeight="1" x14ac:dyDescent="0.2">
      <c r="A32" s="23" t="s">
        <v>15</v>
      </c>
      <c r="B32" s="102" t="str">
        <f>IF(OR(ISBLANK(Values!$B$9),ISBLANK(Values!$B$17),ISBLANK(Values!$B$18),ISBLANK(Values!$B$19),ISBLANK(Values!$B$20)),"",TRIM(CONCATENATE(Values!$B$9," ",Values!$B$17,"; ",Values!$B$19," ",Values!$B$18,"; ",(UPPER(Values!$B$20)))))</f>
        <v/>
      </c>
      <c r="C32" s="102"/>
      <c r="D32" s="102"/>
      <c r="E32" s="102"/>
      <c r="F32" s="103"/>
      <c r="H32" s="23" t="s">
        <v>15</v>
      </c>
      <c r="I32" s="102" t="str">
        <f>IF(OR(ISBLANK(Values!$C$9),ISBLANK(Values!$C$17),ISBLANK(Values!$C$18),ISBLANK(Values!$C$19),ISBLANK(Values!$C$20)),"",TRIM(CONCATENATE(Values!$C$9," ",Values!$C$17,"; ",Values!$C$19," ",Values!$C$18,"; ",(UPPER(Values!$C$20)))))</f>
        <v/>
      </c>
      <c r="J32" s="102"/>
      <c r="K32" s="102"/>
      <c r="L32" s="102"/>
      <c r="M32" s="103"/>
      <c r="O32" s="23" t="s">
        <v>15</v>
      </c>
      <c r="P32" s="102" t="str">
        <f>IF(OR(ISBLANK(Values!$D$9),ISBLANK(Values!$D$17),ISBLANK(Values!$D$18),ISBLANK(Values!$D$19),ISBLANK(Values!$D$20)),"",TRIM(CONCATENATE(Values!$D$9," ",Values!$D$17,"; ",Values!$D$19," ",Values!$D$18,"; ",(UPPER(Values!$D$20)))))</f>
        <v/>
      </c>
      <c r="Q32" s="102"/>
      <c r="R32" s="102"/>
      <c r="S32" s="102"/>
      <c r="T32" s="103"/>
      <c r="V32" s="23" t="s">
        <v>15</v>
      </c>
      <c r="W32" s="102" t="str">
        <f>IF(OR(ISBLANK(Values!$E$9),ISBLANK(Values!$E$17),ISBLANK(Values!$E$18),ISBLANK(Values!$E$19),ISBLANK(Values!$E$20)),"",TRIM(CONCATENATE(Values!$E$9," ",Values!$E$17,"; ",Values!$E$19," ",Values!$E$18,"; ",(UPPER(Values!$E$20)))))</f>
        <v/>
      </c>
      <c r="X32" s="102"/>
      <c r="Y32" s="102"/>
      <c r="Z32" s="102"/>
      <c r="AA32" s="103"/>
    </row>
    <row r="33" spans="1:27" ht="9.9499999999999993" customHeight="1" x14ac:dyDescent="0.2">
      <c r="A33" s="114" t="str">
        <f>TRIM(UPPER(Values!$B$20))</f>
        <v/>
      </c>
      <c r="B33" s="115"/>
      <c r="C33" s="115"/>
      <c r="D33" s="115"/>
      <c r="E33" s="115"/>
      <c r="F33" s="116"/>
      <c r="H33" s="114" t="str">
        <f>TRIM(UPPER(Values!$C$20))</f>
        <v/>
      </c>
      <c r="I33" s="115"/>
      <c r="J33" s="115"/>
      <c r="K33" s="115"/>
      <c r="L33" s="115"/>
      <c r="M33" s="116"/>
      <c r="O33" s="114" t="str">
        <f>TRIM(UPPER(Values!$D$20))</f>
        <v/>
      </c>
      <c r="P33" s="115"/>
      <c r="Q33" s="115"/>
      <c r="R33" s="115"/>
      <c r="S33" s="115"/>
      <c r="T33" s="116"/>
      <c r="V33" s="114" t="str">
        <f>TRIM(UPPER(Values!$E$20))</f>
        <v/>
      </c>
      <c r="W33" s="115"/>
      <c r="X33" s="115"/>
      <c r="Y33" s="115"/>
      <c r="Z33" s="115"/>
      <c r="AA33" s="116"/>
    </row>
    <row r="34" spans="1:27" ht="27" customHeight="1" x14ac:dyDescent="0.2">
      <c r="A34" s="111" t="str">
        <f>IF(ISBLANK(Values!$B$20),"",CONCATENATE("*",Values!$B$20,"*"))</f>
        <v/>
      </c>
      <c r="B34" s="112"/>
      <c r="C34" s="112"/>
      <c r="D34" s="112"/>
      <c r="E34" s="112"/>
      <c r="F34" s="113"/>
      <c r="H34" s="111" t="str">
        <f>IF(ISBLANK(Values!$C$20),"",CONCATENATE("*",Values!$C$20,"*"))</f>
        <v/>
      </c>
      <c r="I34" s="112"/>
      <c r="J34" s="112"/>
      <c r="K34" s="112"/>
      <c r="L34" s="112"/>
      <c r="M34" s="113"/>
      <c r="O34" s="111" t="str">
        <f>IF(ISBLANK(Values!$D$20),"",CONCATENATE("*",Values!$D$20,"*"))</f>
        <v/>
      </c>
      <c r="P34" s="112"/>
      <c r="Q34" s="112"/>
      <c r="R34" s="112"/>
      <c r="S34" s="112"/>
      <c r="T34" s="113"/>
      <c r="V34" s="111" t="str">
        <f>IF(ISBLANK(Values!$E$20),"",CONCATENATE("*",Values!$E$20,"*"))</f>
        <v/>
      </c>
      <c r="W34" s="112"/>
      <c r="X34" s="112"/>
      <c r="Y34" s="112"/>
      <c r="Z34" s="112"/>
      <c r="AA34" s="113"/>
    </row>
    <row r="35" spans="1:27" ht="12" customHeight="1" x14ac:dyDescent="0.2">
      <c r="A35" s="24" t="s">
        <v>16</v>
      </c>
      <c r="B35" s="104" t="str">
        <f ca="1">IF(ISBLANK(Values!$B$10),TEXT(TODAY(),"yyyymmdd"),TEXT(Values!$B$10,"yyyymmdd"))</f>
        <v>20230118</v>
      </c>
      <c r="C35" s="104"/>
      <c r="D35" s="117" t="s">
        <v>17</v>
      </c>
      <c r="E35" s="117"/>
      <c r="F35" s="118"/>
      <c r="H35" s="24" t="s">
        <v>16</v>
      </c>
      <c r="I35" s="104" t="str">
        <f ca="1">IF(ISBLANK(Values!$C$10),TEXT(TODAY(),"yyyymmdd"),TEXT(Values!$C$10,"yyyymmdd"))</f>
        <v>20230118</v>
      </c>
      <c r="J35" s="104"/>
      <c r="K35" s="117" t="s">
        <v>17</v>
      </c>
      <c r="L35" s="117"/>
      <c r="M35" s="118"/>
      <c r="O35" s="24" t="s">
        <v>16</v>
      </c>
      <c r="P35" s="104" t="str">
        <f ca="1">IF(ISBLANK(Values!$D$10),TEXT(TODAY(),"yyyymmdd"),TEXT(Values!$D$10,"yyyymmdd"))</f>
        <v>20230118</v>
      </c>
      <c r="Q35" s="104"/>
      <c r="R35" s="117" t="s">
        <v>17</v>
      </c>
      <c r="S35" s="117"/>
      <c r="T35" s="118"/>
      <c r="V35" s="24" t="s">
        <v>16</v>
      </c>
      <c r="W35" s="104" t="str">
        <f ca="1">IF(ISBLANK(Values!$E$10),TEXT(TODAY(),"yyyymmdd"),TEXT(Values!$E$10,"yyyymmdd"))</f>
        <v>20230118</v>
      </c>
      <c r="X35" s="104"/>
      <c r="Y35" s="117" t="s">
        <v>17</v>
      </c>
      <c r="Z35" s="117"/>
      <c r="AA35" s="118"/>
    </row>
    <row r="36" spans="1:27" ht="9.9499999999999993" customHeight="1" x14ac:dyDescent="0.2">
      <c r="A36" s="97" t="s">
        <v>18</v>
      </c>
      <c r="B36" s="98"/>
      <c r="C36" s="99" t="str">
        <f>IF(ISBLANK(Values!$B$15),"",TRIM(CONCATENATE(Values!$B$15," (",Values!$B$16,")")))</f>
        <v/>
      </c>
      <c r="D36" s="101"/>
      <c r="E36" s="101"/>
      <c r="F36" s="25"/>
      <c r="H36" s="97" t="s">
        <v>18</v>
      </c>
      <c r="I36" s="98"/>
      <c r="J36" s="99" t="str">
        <f>IF(ISBLANK(Values!$C$15),"",TRIM(CONCATENATE(Values!$C$15," (",Values!$C$16,")")))</f>
        <v/>
      </c>
      <c r="K36" s="101"/>
      <c r="L36" s="101"/>
      <c r="M36" s="25"/>
      <c r="O36" s="97" t="s">
        <v>18</v>
      </c>
      <c r="P36" s="98"/>
      <c r="Q36" s="99" t="str">
        <f>IF(ISBLANK(Values!$D$15),"",TRIM(CONCATENATE(Values!$D$15," (",Values!$D$16,")")))</f>
        <v/>
      </c>
      <c r="R36" s="101"/>
      <c r="S36" s="101"/>
      <c r="T36" s="25"/>
      <c r="V36" s="97" t="s">
        <v>18</v>
      </c>
      <c r="W36" s="98"/>
      <c r="X36" s="99" t="str">
        <f>IF(ISBLANK(Values!$E$15),"",TRIM(CONCATENATE(Values!$E$15," (",Values!$E$16,")")))</f>
        <v/>
      </c>
      <c r="Y36" s="101"/>
      <c r="Z36" s="101"/>
      <c r="AA36" s="25"/>
    </row>
    <row r="37" spans="1:27" ht="9.9499999999999993" customHeight="1" x14ac:dyDescent="0.2">
      <c r="A37" s="97" t="s">
        <v>19</v>
      </c>
      <c r="B37" s="98"/>
      <c r="C37" s="99" t="str">
        <f>IF(ISBLANK(Values!$B$3),"",TRIM(CONCATENATE(Values!$B$3," Dated ",$B$21)))</f>
        <v/>
      </c>
      <c r="D37" s="99"/>
      <c r="E37" s="99"/>
      <c r="F37" s="26"/>
      <c r="H37" s="97" t="s">
        <v>19</v>
      </c>
      <c r="I37" s="98"/>
      <c r="J37" s="99" t="str">
        <f>IF(ISBLANK(Values!$C$3),"",TRIM(CONCATENATE(Values!$C$3," Dated ",$C$21)))</f>
        <v/>
      </c>
      <c r="K37" s="99"/>
      <c r="L37" s="99"/>
      <c r="M37" s="26"/>
      <c r="O37" s="97" t="s">
        <v>19</v>
      </c>
      <c r="P37" s="98"/>
      <c r="Q37" s="99" t="str">
        <f>IF(ISBLANK(Values!$D$3),"",TRIM(CONCATENATE(Values!$D$3," Dated ",$D$21)))</f>
        <v/>
      </c>
      <c r="R37" s="99"/>
      <c r="S37" s="99"/>
      <c r="T37" s="26"/>
      <c r="V37" s="97" t="s">
        <v>19</v>
      </c>
      <c r="W37" s="98"/>
      <c r="X37" s="99" t="str">
        <f>IF(ISBLANK(Values!$E$3),"",TRIM(CONCATENATE(Values!$E$3," Dated ",$E$21)))</f>
        <v/>
      </c>
      <c r="Y37" s="99"/>
      <c r="Z37" s="99"/>
      <c r="AA37" s="26"/>
    </row>
    <row r="38" spans="1:27" ht="8.1" customHeight="1" x14ac:dyDescent="0.2">
      <c r="A38" s="97" t="s">
        <v>20</v>
      </c>
      <c r="B38" s="98"/>
      <c r="C38" s="99" t="str">
        <f ca="1">IF(ISBLANK(Values!$B$10),TEXT(TODAY(),"yyyymmdd"),TEXT(Values!$B$10,"yyyymmdd"))</f>
        <v>20230118</v>
      </c>
      <c r="D38" s="99"/>
      <c r="E38" s="99"/>
      <c r="F38" s="100"/>
      <c r="H38" s="97" t="s">
        <v>20</v>
      </c>
      <c r="I38" s="98"/>
      <c r="J38" s="99" t="str">
        <f ca="1">IF(ISBLANK(Values!$C$10),TEXT(TODAY(),"yyyymmdd"),TEXT(Values!$C$10,"yyyymmdd"))</f>
        <v>20230118</v>
      </c>
      <c r="K38" s="99"/>
      <c r="L38" s="99"/>
      <c r="M38" s="100"/>
      <c r="O38" s="97" t="s">
        <v>20</v>
      </c>
      <c r="P38" s="98"/>
      <c r="Q38" s="99" t="str">
        <f ca="1">IF(ISBLANK(Values!$D$10),TEXT(TODAY(),"yyyymmdd"),TEXT(Values!$D$10,"yyyymmdd"))</f>
        <v>20230118</v>
      </c>
      <c r="R38" s="99"/>
      <c r="S38" s="99"/>
      <c r="T38" s="100"/>
      <c r="V38" s="97" t="s">
        <v>20</v>
      </c>
      <c r="W38" s="98"/>
      <c r="X38" s="99" t="str">
        <f ca="1">IF(ISBLANK(Values!$E$10),TEXT(TODAY(),"yyyymmdd"),TEXT(Values!$E$10,"yyyymmdd"))</f>
        <v>20230118</v>
      </c>
      <c r="Y38" s="99"/>
      <c r="Z38" s="99"/>
      <c r="AA38" s="100"/>
    </row>
    <row r="39" spans="1:27" ht="8.1" customHeight="1" thickBot="1" x14ac:dyDescent="0.25">
      <c r="A39" s="162" t="str">
        <f>IF(ISBLANK(Values!$B$14),"Reason: ",TRIM(CONCATENATE("Reason: ",Values!$B$14)))</f>
        <v xml:space="preserve">Reason: </v>
      </c>
      <c r="B39" s="163"/>
      <c r="C39" s="94" t="s">
        <v>21</v>
      </c>
      <c r="D39" s="94"/>
      <c r="E39" s="95" t="str">
        <f ca="1">IF(ISBLANK(Values!$B$11),"",IF(ISBLANK(Values!$B$10),TEXT(DATE(YEAR(TODAY())+Values!$B$11,MONTH(TODAY()),DAY(TODAY())),"yyyymmdd"),TEXT(DATE(YEAR(Values!$B$10)+Values!$B$11,MONTH(Values!$B$10),DAY(Values!$B$10)),"yyyymmdd")))</f>
        <v/>
      </c>
      <c r="F39" s="96"/>
      <c r="H39" s="162" t="str">
        <f>IF(ISBLANK(Values!$C$14),"Reason: ",TRIM(CONCATENATE("Reason: ",Values!$C$14)))</f>
        <v xml:space="preserve">Reason: </v>
      </c>
      <c r="I39" s="163"/>
      <c r="J39" s="94" t="s">
        <v>21</v>
      </c>
      <c r="K39" s="94"/>
      <c r="L39" s="95" t="str">
        <f ca="1">IF(ISBLANK(Values!$C$11),"",IF(ISBLANK(Values!$C$10),TEXT(DATE(YEAR(TODAY())+Values!$C$11,MONTH(TODAY()),DAY(TODAY())),"yyyymmdd"),TEXT(DATE(YEAR(Values!$C$10)+Values!$C$11,MONTH(Values!$C$10),DAY(Values!$C$10)),"yyyymmdd")))</f>
        <v/>
      </c>
      <c r="M39" s="96"/>
      <c r="O39" s="162" t="str">
        <f>IF(ISBLANK(Values!$D$14),"Reason: ",TRIM(CONCATENATE("Reason: ",Values!$D$14)))</f>
        <v xml:space="preserve">Reason: </v>
      </c>
      <c r="P39" s="163"/>
      <c r="Q39" s="94" t="s">
        <v>21</v>
      </c>
      <c r="R39" s="94"/>
      <c r="S39" s="95" t="str">
        <f ca="1">IF(ISBLANK(Values!$D$11),"",IF(ISBLANK(Values!$D$10),TEXT(DATE(YEAR(TODAY())+Values!$D$11,MONTH(TODAY()),DAY(TODAY())),"yyyymmdd"),TEXT(DATE(YEAR(Values!$D$10)+Values!$D$11,MONTH(Values!$D$10),DAY(Values!$D$10)),"yyyymmdd")))</f>
        <v/>
      </c>
      <c r="T39" s="96"/>
      <c r="V39" s="162" t="str">
        <f>IF(ISBLANK(Values!$E$14),"Reason: ",TRIM(CONCATENATE("Reason: ",Values!$E$14)))</f>
        <v xml:space="preserve">Reason: </v>
      </c>
      <c r="W39" s="163"/>
      <c r="X39" s="94" t="s">
        <v>21</v>
      </c>
      <c r="Y39" s="94"/>
      <c r="Z39" s="95" t="str">
        <f ca="1">IF(ISBLANK(Values!$E$11),"",IF(ISBLANK(Values!$E$10),TEXT(DATE(YEAR(TODAY())+Values!$E$11,MONTH(TODAY()),DAY(TODAY())),"yyyymmdd"),TEXT(DATE(YEAR(Values!$E$10)+Values!$E$11,MONTH(Values!$E$10),DAY(Values!$E$10)),"yyyymmdd")))</f>
        <v/>
      </c>
      <c r="AA39" s="96"/>
    </row>
    <row r="40" spans="1:27" s="27" customFormat="1" ht="11.1" customHeight="1" thickBot="1" x14ac:dyDescent="0.25">
      <c r="A40" s="107" t="s">
        <v>22</v>
      </c>
      <c r="B40" s="108"/>
      <c r="C40" s="108"/>
      <c r="D40" s="108"/>
      <c r="E40" s="108"/>
      <c r="F40" s="109"/>
      <c r="H40" s="107" t="s">
        <v>22</v>
      </c>
      <c r="I40" s="108"/>
      <c r="J40" s="108"/>
      <c r="K40" s="108"/>
      <c r="L40" s="108"/>
      <c r="M40" s="109"/>
      <c r="O40" s="107" t="s">
        <v>22</v>
      </c>
      <c r="P40" s="108"/>
      <c r="Q40" s="108"/>
      <c r="R40" s="108"/>
      <c r="S40" s="108"/>
      <c r="T40" s="109"/>
      <c r="V40" s="107" t="s">
        <v>22</v>
      </c>
      <c r="W40" s="108"/>
      <c r="X40" s="108"/>
      <c r="Y40" s="108"/>
      <c r="Z40" s="108"/>
      <c r="AA40" s="109"/>
    </row>
    <row r="41" spans="1:27" ht="3" customHeight="1" x14ac:dyDescent="0.2">
      <c r="A41" s="110"/>
      <c r="B41" s="110"/>
      <c r="C41" s="110"/>
      <c r="D41" s="110"/>
      <c r="E41" s="110"/>
      <c r="F41" s="110"/>
      <c r="H41" s="110"/>
      <c r="I41" s="110"/>
      <c r="J41" s="110"/>
      <c r="K41" s="110"/>
      <c r="L41" s="110"/>
      <c r="M41" s="110"/>
      <c r="O41" s="110"/>
      <c r="P41" s="110"/>
      <c r="Q41" s="110"/>
      <c r="R41" s="110"/>
      <c r="S41" s="110"/>
      <c r="T41" s="110"/>
      <c r="V41" s="110"/>
      <c r="W41" s="110"/>
      <c r="X41" s="110"/>
      <c r="Y41" s="110"/>
      <c r="Z41" s="110"/>
      <c r="AA41" s="110"/>
    </row>
    <row r="42" spans="1:27" ht="3" customHeight="1" thickBot="1" x14ac:dyDescent="0.25">
      <c r="A42" s="84"/>
      <c r="B42" s="84"/>
      <c r="C42" s="84"/>
      <c r="D42" s="84"/>
      <c r="E42" s="84"/>
      <c r="F42" s="84"/>
      <c r="H42" s="84"/>
      <c r="I42" s="84"/>
      <c r="J42" s="84"/>
      <c r="K42" s="84"/>
      <c r="L42" s="84"/>
      <c r="M42" s="84"/>
      <c r="O42" s="84"/>
      <c r="P42" s="84"/>
      <c r="Q42" s="84"/>
      <c r="R42" s="84"/>
      <c r="S42" s="84"/>
      <c r="T42" s="84"/>
      <c r="V42" s="84"/>
      <c r="W42" s="84"/>
      <c r="X42" s="84"/>
      <c r="Y42" s="84"/>
      <c r="Z42" s="84"/>
      <c r="AA42" s="84"/>
    </row>
    <row r="43" spans="1:27" ht="18" customHeight="1" thickBot="1" x14ac:dyDescent="0.25">
      <c r="A43" s="85" t="str">
        <f ca="1">IF(ISBLANK(Values!$B$12),"",IF(ISBLANK(Values!$B$10),TRIM(UPPER(CONCATENATE(Values!$B$12,Values!$B$13,"//"&amp;TEXT(TODAY(),"yyyymmdd")))),TRIM(UPPER(CONCATENATE(Values!$B$12,Values!$B$13,"//"&amp;TEXT(Values!$B$10,"yyyymmdd"))))))</f>
        <v/>
      </c>
      <c r="B43" s="86"/>
      <c r="C43" s="86"/>
      <c r="D43" s="86"/>
      <c r="E43" s="86"/>
      <c r="F43" s="87"/>
      <c r="H43" s="85" t="str">
        <f ca="1">IF(ISBLANK(Values!$C$12),"",IF(ISBLANK(Values!$C$10),TRIM(UPPER(CONCATENATE(Values!$C$12,Values!$C$13,"//"&amp;TEXT(TODAY(),"yyyymmdd")))),TRIM(UPPER(CONCATENATE(Values!$C$12,Values!$C$13,"//"&amp;TEXT(Values!$C$10,"yyyymmdd"))))))</f>
        <v/>
      </c>
      <c r="I43" s="86"/>
      <c r="J43" s="86"/>
      <c r="K43" s="86"/>
      <c r="L43" s="86"/>
      <c r="M43" s="87"/>
      <c r="O43" s="85" t="str">
        <f ca="1">IF(ISBLANK(Values!$D$12),"",IF(ISBLANK(Values!$D$10),TRIM(UPPER(CONCATENATE(Values!$D$12,Values!$D$13,"//"&amp;TEXT(TODAY(),"yyyymmdd")))),TRIM(UPPER(CONCATENATE(Values!$D$12,Values!$D$13,"//"&amp;TEXT(Values!$D$10,"yyyymmdd"))))))</f>
        <v/>
      </c>
      <c r="P43" s="86"/>
      <c r="Q43" s="86"/>
      <c r="R43" s="86"/>
      <c r="S43" s="86"/>
      <c r="T43" s="87"/>
      <c r="V43" s="85" t="str">
        <f ca="1">IF(ISBLANK(Values!$E$12),"",IF(ISBLANK(Values!$E$10),TRIM(UPPER(CONCATENATE(Values!$E$12,Values!$E$13,"//"&amp;TEXT(TODAY(),"yyyymmdd")))),TRIM(UPPER(CONCATENATE(Values!$E$12,Values!$E$13,"//"&amp;TEXT(Values!$E$10,"yyyymmdd"))))))</f>
        <v/>
      </c>
      <c r="W43" s="86"/>
      <c r="X43" s="86"/>
      <c r="Y43" s="86"/>
      <c r="Z43" s="86"/>
      <c r="AA43" s="87"/>
    </row>
    <row r="44" spans="1:27" ht="6.95" customHeight="1" x14ac:dyDescent="0.2">
      <c r="A44" s="78" t="str">
        <f>TRIM(Values!$B$4)</f>
        <v/>
      </c>
      <c r="B44" s="79"/>
      <c r="C44" s="79"/>
      <c r="D44" s="79"/>
      <c r="E44" s="79"/>
      <c r="F44" s="80"/>
      <c r="H44" s="78" t="str">
        <f>TRIM(Values!$C$4)</f>
        <v/>
      </c>
      <c r="I44" s="79"/>
      <c r="J44" s="79"/>
      <c r="K44" s="79"/>
      <c r="L44" s="79"/>
      <c r="M44" s="80"/>
      <c r="O44" s="78" t="str">
        <f>TRIM(Values!$D$4)</f>
        <v/>
      </c>
      <c r="P44" s="79"/>
      <c r="Q44" s="79"/>
      <c r="R44" s="79"/>
      <c r="S44" s="79"/>
      <c r="T44" s="80"/>
      <c r="V44" s="78" t="str">
        <f>TRIM(Values!$E$4)</f>
        <v/>
      </c>
      <c r="W44" s="79"/>
      <c r="X44" s="79"/>
      <c r="Y44" s="79"/>
      <c r="Z44" s="79"/>
      <c r="AA44" s="80"/>
    </row>
    <row r="45" spans="1:27" ht="6.95" customHeight="1" x14ac:dyDescent="0.2">
      <c r="A45" s="81" t="str">
        <f>IF(OR(ISBLANK(Values!$B$5),ISBLANK(Values!$B$6),ISBLANK(Values!$B$7),ISBLANK(Values!$B$8)),"",TRIM(CONCATENATE(Values!$B$5," ▪ ",Values!$B$6,", ",Values!$B$7," ",Values!$B$8)))</f>
        <v/>
      </c>
      <c r="B45" s="82"/>
      <c r="C45" s="82"/>
      <c r="D45" s="82"/>
      <c r="E45" s="82"/>
      <c r="F45" s="83"/>
      <c r="H45" s="81" t="str">
        <f>IF(OR(ISBLANK(Values!$C$5),ISBLANK(Values!$C$6),ISBLANK(Values!$C$7),ISBLANK(Values!$C$8)),"",TRIM(CONCATENATE(Values!$C$5," ▪ ",Values!$C$6,", ",Values!$C$7," ",Values!$C$8)))</f>
        <v/>
      </c>
      <c r="I45" s="82"/>
      <c r="J45" s="82"/>
      <c r="K45" s="82"/>
      <c r="L45" s="82"/>
      <c r="M45" s="83"/>
      <c r="O45" s="81" t="str">
        <f>IF(OR(ISBLANK(Values!$D$5),ISBLANK(Values!$D$6),ISBLANK(Values!$D$7),ISBLANK(Values!$D$8)),"",TRIM(CONCATENATE(Values!$D$5," ▪ ",Values!$D$6,", ",Values!$D$7," ",Values!$D$8)))</f>
        <v/>
      </c>
      <c r="P45" s="82"/>
      <c r="Q45" s="82"/>
      <c r="R45" s="82"/>
      <c r="S45" s="82"/>
      <c r="T45" s="83"/>
      <c r="V45" s="81" t="str">
        <f>IF(OR(ISBLANK(Values!$E$5),ISBLANK(Values!$E$6),ISBLANK(Values!$E$7),ISBLANK(Values!$E$8)),"",TRIM(CONCATENATE(Values!$E$5," ▪ ",Values!$E$6,", ",Values!$E$7," ",Values!$E$8)))</f>
        <v/>
      </c>
      <c r="W45" s="82"/>
      <c r="X45" s="82"/>
      <c r="Y45" s="82"/>
      <c r="Z45" s="82"/>
      <c r="AA45" s="83"/>
    </row>
    <row r="46" spans="1:27" ht="9.9499999999999993" customHeight="1" x14ac:dyDescent="0.2">
      <c r="A46" s="23" t="s">
        <v>15</v>
      </c>
      <c r="B46" s="102" t="str">
        <f>IF(OR(ISBLANK(Values!$B$9),ISBLANK(Values!$B$17),ISBLANK(Values!$B$18),ISBLANK(Values!$B$19),ISBLANK(Values!$B$20)),"",TRIM(CONCATENATE(Values!$B$9," ",Values!$B$17,"; ",Values!$B$19," ",Values!$B$18,"; ",(UPPER(Values!$B$20)))))</f>
        <v/>
      </c>
      <c r="C46" s="102"/>
      <c r="D46" s="102"/>
      <c r="E46" s="102"/>
      <c r="F46" s="103"/>
      <c r="H46" s="23" t="s">
        <v>15</v>
      </c>
      <c r="I46" s="102" t="str">
        <f>IF(OR(ISBLANK(Values!$C$9),ISBLANK(Values!$C$17),ISBLANK(Values!$C$18),ISBLANK(Values!$C$19),ISBLANK(Values!$C$20)),"",TRIM(CONCATENATE(Values!$C$9," ",Values!$C$17,"; ",Values!$C$19," ",Values!$C$18,"; ",(UPPER(Values!$C$20)))))</f>
        <v/>
      </c>
      <c r="J46" s="102"/>
      <c r="K46" s="102"/>
      <c r="L46" s="102"/>
      <c r="M46" s="103"/>
      <c r="O46" s="23" t="s">
        <v>15</v>
      </c>
      <c r="P46" s="102" t="str">
        <f>IF(OR(ISBLANK(Values!$D$9),ISBLANK(Values!$D$17),ISBLANK(Values!$D$18),ISBLANK(Values!$D$19),ISBLANK(Values!$D$20)),"",TRIM(CONCATENATE(Values!$D$9," ",Values!$D$17,"; ",Values!$D$19," ",Values!$D$18,"; ",(UPPER(Values!$D$20)))))</f>
        <v/>
      </c>
      <c r="Q46" s="102"/>
      <c r="R46" s="102"/>
      <c r="S46" s="102"/>
      <c r="T46" s="103"/>
      <c r="V46" s="23" t="s">
        <v>15</v>
      </c>
      <c r="W46" s="102" t="str">
        <f>IF(OR(ISBLANK(Values!$E$9),ISBLANK(Values!$E$17),ISBLANK(Values!$E$18),ISBLANK(Values!$E$19),ISBLANK(Values!$E$20)),"",TRIM(CONCATENATE(Values!$E$9," ",Values!$E$17,"; ",Values!$E$19," ",Values!$E$18,"; ",(UPPER(Values!$E$20)))))</f>
        <v/>
      </c>
      <c r="X46" s="102"/>
      <c r="Y46" s="102"/>
      <c r="Z46" s="102"/>
      <c r="AA46" s="103"/>
    </row>
    <row r="47" spans="1:27" ht="12" customHeight="1" x14ac:dyDescent="0.2">
      <c r="A47" s="24" t="s">
        <v>16</v>
      </c>
      <c r="B47" s="104" t="str">
        <f ca="1">IF(ISBLANK(Values!$B$10),TEXT(TODAY(),"yyyymmdd"),TEXT(Values!$B$10,"yyyymmdd"))</f>
        <v>20230118</v>
      </c>
      <c r="C47" s="104"/>
      <c r="D47" s="105" t="s">
        <v>17</v>
      </c>
      <c r="E47" s="105"/>
      <c r="F47" s="106"/>
      <c r="H47" s="24" t="s">
        <v>16</v>
      </c>
      <c r="I47" s="104" t="str">
        <f ca="1">IF(ISBLANK(Values!$C$10),TEXT(TODAY(),"yyyymmdd"),TEXT(Values!$C$10,"yyyymmdd"))</f>
        <v>20230118</v>
      </c>
      <c r="J47" s="104"/>
      <c r="K47" s="105" t="s">
        <v>17</v>
      </c>
      <c r="L47" s="105"/>
      <c r="M47" s="106"/>
      <c r="O47" s="24" t="s">
        <v>16</v>
      </c>
      <c r="P47" s="104" t="str">
        <f ca="1">IF(ISBLANK(Values!$D$10),TEXT(TODAY(),"yyyymmdd"),TEXT(Values!$D$10,"yyyymmdd"))</f>
        <v>20230118</v>
      </c>
      <c r="Q47" s="104"/>
      <c r="R47" s="105" t="s">
        <v>17</v>
      </c>
      <c r="S47" s="105"/>
      <c r="T47" s="106"/>
      <c r="V47" s="24" t="s">
        <v>16</v>
      </c>
      <c r="W47" s="104" t="str">
        <f ca="1">IF(ISBLANK(Values!$E$10),TEXT(TODAY(),"yyyymmdd"),TEXT(Values!$E$10,"yyyymmdd"))</f>
        <v>20230118</v>
      </c>
      <c r="X47" s="104"/>
      <c r="Y47" s="105" t="s">
        <v>17</v>
      </c>
      <c r="Z47" s="105"/>
      <c r="AA47" s="106"/>
    </row>
    <row r="48" spans="1:27" ht="9.9499999999999993" customHeight="1" x14ac:dyDescent="0.2">
      <c r="A48" s="97" t="s">
        <v>18</v>
      </c>
      <c r="B48" s="98"/>
      <c r="C48" s="99" t="str">
        <f>IF(ISBLANK(Values!$B$15),"",TRIM(CONCATENATE(Values!$B$15," (",Values!$B$16,")")))</f>
        <v/>
      </c>
      <c r="D48" s="101"/>
      <c r="E48" s="101"/>
      <c r="F48" s="25"/>
      <c r="H48" s="97" t="s">
        <v>18</v>
      </c>
      <c r="I48" s="98"/>
      <c r="J48" s="99" t="str">
        <f>IF(ISBLANK(Values!$C$15),"",TRIM(CONCATENATE(Values!$C$15," (",Values!$C$16,")")))</f>
        <v/>
      </c>
      <c r="K48" s="101"/>
      <c r="L48" s="101"/>
      <c r="M48" s="25"/>
      <c r="O48" s="97" t="s">
        <v>18</v>
      </c>
      <c r="P48" s="98"/>
      <c r="Q48" s="99" t="str">
        <f>IF(ISBLANK(Values!$D$15),"",TRIM(CONCATENATE(Values!$D$15," (",Values!$D$16,")")))</f>
        <v/>
      </c>
      <c r="R48" s="101"/>
      <c r="S48" s="101"/>
      <c r="T48" s="25"/>
      <c r="V48" s="97" t="s">
        <v>18</v>
      </c>
      <c r="W48" s="98"/>
      <c r="X48" s="99" t="str">
        <f>IF(ISBLANK(Values!$E$15),"",TRIM(CONCATENATE(Values!$E$15," (",Values!$E$16,")")))</f>
        <v/>
      </c>
      <c r="Y48" s="101"/>
      <c r="Z48" s="101"/>
      <c r="AA48" s="25"/>
    </row>
    <row r="49" spans="1:27" ht="9.9499999999999993" customHeight="1" x14ac:dyDescent="0.2">
      <c r="A49" s="97" t="s">
        <v>19</v>
      </c>
      <c r="B49" s="98"/>
      <c r="C49" s="99" t="str">
        <f>IF(ISBLANK(Values!$B$3),"",TRIM(CONCATENATE(Values!$B$3," Dated ",$B$21)))</f>
        <v/>
      </c>
      <c r="D49" s="99"/>
      <c r="E49" s="99"/>
      <c r="F49" s="26"/>
      <c r="H49" s="97" t="s">
        <v>19</v>
      </c>
      <c r="I49" s="98"/>
      <c r="J49" s="99" t="str">
        <f>IF(ISBLANK(Values!$C$3),"",TRIM(CONCATENATE(Values!$C$3," Dated ",$C$21)))</f>
        <v/>
      </c>
      <c r="K49" s="99"/>
      <c r="L49" s="99"/>
      <c r="M49" s="26"/>
      <c r="O49" s="97" t="s">
        <v>19</v>
      </c>
      <c r="P49" s="98"/>
      <c r="Q49" s="99" t="str">
        <f>IF(ISBLANK(Values!$D$3),"",TRIM(CONCATENATE(Values!$D$3," Dated ",$D$21)))</f>
        <v/>
      </c>
      <c r="R49" s="99"/>
      <c r="S49" s="99"/>
      <c r="T49" s="26"/>
      <c r="V49" s="97" t="s">
        <v>19</v>
      </c>
      <c r="W49" s="98"/>
      <c r="X49" s="99" t="str">
        <f>IF(ISBLANK(Values!$E$3),"",TRIM(CONCATENATE(Values!$E$3," Dated ",$E$21)))</f>
        <v/>
      </c>
      <c r="Y49" s="99"/>
      <c r="Z49" s="99"/>
      <c r="AA49" s="26"/>
    </row>
    <row r="50" spans="1:27" ht="8.1" customHeight="1" x14ac:dyDescent="0.2">
      <c r="A50" s="97" t="s">
        <v>20</v>
      </c>
      <c r="B50" s="98"/>
      <c r="C50" s="99" t="str">
        <f ca="1">IF(ISBLANK(Values!$B$10),TEXT(TODAY(),"yyyymmdd"),TEXT(Values!$B$10,"yyyymmdd"))</f>
        <v>20230118</v>
      </c>
      <c r="D50" s="99"/>
      <c r="E50" s="99"/>
      <c r="F50" s="100"/>
      <c r="H50" s="97" t="s">
        <v>20</v>
      </c>
      <c r="I50" s="98"/>
      <c r="J50" s="99" t="str">
        <f ca="1">IF(ISBLANK(Values!$C$10),TEXT(TODAY(),"yyyymmdd"),TEXT(Values!$C$10,"yyyymmdd"))</f>
        <v>20230118</v>
      </c>
      <c r="K50" s="99"/>
      <c r="L50" s="99"/>
      <c r="M50" s="100"/>
      <c r="O50" s="97" t="s">
        <v>20</v>
      </c>
      <c r="P50" s="98"/>
      <c r="Q50" s="99" t="str">
        <f ca="1">IF(ISBLANK(Values!$D$10),TEXT(TODAY(),"yyyymmdd"),TEXT(Values!$D$10,"yyyymmdd"))</f>
        <v>20230118</v>
      </c>
      <c r="R50" s="99"/>
      <c r="S50" s="99"/>
      <c r="T50" s="100"/>
      <c r="V50" s="97" t="s">
        <v>20</v>
      </c>
      <c r="W50" s="98"/>
      <c r="X50" s="99" t="str">
        <f ca="1">IF(ISBLANK(Values!$E$10),TEXT(TODAY(),"yyyymmdd"),TEXT(Values!$E$10,"yyyymmdd"))</f>
        <v>20230118</v>
      </c>
      <c r="Y50" s="99"/>
      <c r="Z50" s="99"/>
      <c r="AA50" s="100"/>
    </row>
    <row r="51" spans="1:27" ht="8.1" customHeight="1" thickBot="1" x14ac:dyDescent="0.25">
      <c r="A51" s="162" t="str">
        <f>IF(ISBLANK(Values!$B$14),"Reason: ",TRIM(CONCATENATE("Reason: ",Values!$B$14)))</f>
        <v xml:space="preserve">Reason: </v>
      </c>
      <c r="B51" s="163"/>
      <c r="C51" s="94" t="s">
        <v>21</v>
      </c>
      <c r="D51" s="94"/>
      <c r="E51" s="95" t="str">
        <f ca="1">IF(ISBLANK(Values!$B$11),"",IF(ISBLANK(Values!$B$10),TEXT(DATE(YEAR(TODAY())+Values!$B$11,MONTH(TODAY()),DAY(TODAY())),"yyyymmdd"),TEXT(DATE(YEAR(Values!$B$10)+Values!$B$11,MONTH(Values!$B$10),DAY(Values!$B$10)),"yyyymmdd")))</f>
        <v/>
      </c>
      <c r="F51" s="96"/>
      <c r="H51" s="162" t="str">
        <f>IF(ISBLANK(Values!$C$14),"Reason: ",TRIM(CONCATENATE("Reason: ",Values!$C$14)))</f>
        <v xml:space="preserve">Reason: </v>
      </c>
      <c r="I51" s="163"/>
      <c r="J51" s="94" t="s">
        <v>21</v>
      </c>
      <c r="K51" s="94"/>
      <c r="L51" s="95" t="str">
        <f ca="1">IF(ISBLANK(Values!$C$11),"",IF(ISBLANK(Values!$C$10),TEXT(DATE(YEAR(TODAY())+Values!$C$11,MONTH(TODAY()),DAY(TODAY())),"yyyymmdd"),TEXT(DATE(YEAR(Values!$C$10)+Values!$C$11,MONTH(Values!$C$10),DAY(Values!$C$10)),"yyyymmdd")))</f>
        <v/>
      </c>
      <c r="M51" s="96"/>
      <c r="O51" s="162" t="str">
        <f>IF(ISBLANK(Values!$D$14),"Reason: ",TRIM(CONCATENATE("Reason: ",Values!$D$14)))</f>
        <v xml:space="preserve">Reason: </v>
      </c>
      <c r="P51" s="163"/>
      <c r="Q51" s="94" t="s">
        <v>21</v>
      </c>
      <c r="R51" s="94"/>
      <c r="S51" s="95" t="str">
        <f ca="1">IF(ISBLANK(Values!$D$11),"",IF(ISBLANK(Values!$D$10),TEXT(DATE(YEAR(TODAY())+Values!$D$11,MONTH(TODAY()),DAY(TODAY())),"yyyymmdd"),TEXT(DATE(YEAR(Values!$D$10)+Values!$D$11,MONTH(Values!$D$10),DAY(Values!$D$10)),"yyyymmdd")))</f>
        <v/>
      </c>
      <c r="T51" s="96"/>
      <c r="V51" s="162" t="str">
        <f>IF(ISBLANK(Values!$E$14),"Reason: ",TRIM(CONCATENATE("Reason: ",Values!$E$14)))</f>
        <v xml:space="preserve">Reason: </v>
      </c>
      <c r="W51" s="163"/>
      <c r="X51" s="94" t="s">
        <v>21</v>
      </c>
      <c r="Y51" s="94"/>
      <c r="Z51" s="95" t="str">
        <f ca="1">IF(ISBLANK(Values!$E$11),"",IF(ISBLANK(Values!$E$10),TEXT(DATE(YEAR(TODAY())+Values!$E$11,MONTH(TODAY()),DAY(TODAY())),"yyyymmdd"),TEXT(DATE(YEAR(Values!$E$10)+Values!$E$11,MONTH(Values!$E$10),DAY(Values!$E$10)),"yyyymmdd")))</f>
        <v/>
      </c>
      <c r="AA51" s="96"/>
    </row>
    <row r="52" spans="1:27" s="27" customFormat="1" ht="11.1" customHeight="1" x14ac:dyDescent="0.2">
      <c r="A52" s="88" t="s">
        <v>22</v>
      </c>
      <c r="B52" s="89"/>
      <c r="C52" s="89"/>
      <c r="D52" s="89"/>
      <c r="E52" s="89"/>
      <c r="F52" s="90"/>
      <c r="H52" s="88" t="s">
        <v>22</v>
      </c>
      <c r="I52" s="89"/>
      <c r="J52" s="89"/>
      <c r="K52" s="89"/>
      <c r="L52" s="89"/>
      <c r="M52" s="90"/>
      <c r="O52" s="88" t="s">
        <v>22</v>
      </c>
      <c r="P52" s="89"/>
      <c r="Q52" s="89"/>
      <c r="R52" s="89"/>
      <c r="S52" s="89"/>
      <c r="T52" s="90"/>
      <c r="V52" s="88" t="s">
        <v>22</v>
      </c>
      <c r="W52" s="89"/>
      <c r="X52" s="89"/>
      <c r="Y52" s="89"/>
      <c r="Z52" s="89"/>
      <c r="AA52" s="90"/>
    </row>
    <row r="53" spans="1:27" ht="12.95" customHeight="1" thickBot="1" x14ac:dyDescent="0.25">
      <c r="A53" s="91" t="str">
        <f ca="1">IF(ISBLANK(Values!$B$12),"",IF(ISBLANK(Values!$B$10),TRIM(UPPER(CONCATENATE(Values!$B$12,Values!$B$13,"//"&amp;TEXT(TODAY(),"yyyymmdd")))),TRIM(UPPER(CONCATENATE(Values!$B$12,Values!$B$13,"//"&amp;TEXT(Values!$B$10,"yyyymmdd"))))))</f>
        <v/>
      </c>
      <c r="B53" s="92"/>
      <c r="C53" s="92"/>
      <c r="D53" s="92"/>
      <c r="E53" s="92"/>
      <c r="F53" s="93"/>
      <c r="H53" s="91" t="str">
        <f ca="1">IF(ISBLANK(Values!$C$12),"",IF(ISBLANK(Values!$C$10),TRIM(UPPER(CONCATENATE(Values!$C$12,Values!$C$13,"//"&amp;TEXT(TODAY(),"yyyymmdd")))),TRIM(UPPER(CONCATENATE(Values!$C$12,Values!$C$13,"//"&amp;TEXT(Values!$C$10,"yyyymmdd"))))))</f>
        <v/>
      </c>
      <c r="I53" s="92"/>
      <c r="J53" s="92"/>
      <c r="K53" s="92"/>
      <c r="L53" s="92"/>
      <c r="M53" s="93"/>
      <c r="O53" s="91" t="str">
        <f ca="1">IF(ISBLANK(Values!$D$12),"",IF(ISBLANK(Values!$D$10),TRIM(UPPER(CONCATENATE(Values!$D$12,Values!$D$13,"//"&amp;TEXT(TODAY(),"yyyymmdd")))),TRIM(UPPER(CONCATENATE(Values!$D$12,Values!$D$13,"//"&amp;TEXT(Values!$D$10,"yyyymmdd"))))))</f>
        <v/>
      </c>
      <c r="P53" s="92"/>
      <c r="Q53" s="92"/>
      <c r="R53" s="92"/>
      <c r="S53" s="92"/>
      <c r="T53" s="93"/>
      <c r="V53" s="91" t="str">
        <f ca="1">IF(ISBLANK(Values!$E$12),"",IF(ISBLANK(Values!$E$10),TRIM(UPPER(CONCATENATE(Values!$E$12,Values!$E$13,"//"&amp;TEXT(TODAY(),"yyyymmdd")))),TRIM(UPPER(CONCATENATE(Values!$E$12,Values!$E$13,"//"&amp;TEXT(Values!$E$10,"yyyymmdd"))))))</f>
        <v/>
      </c>
      <c r="W53" s="92"/>
      <c r="X53" s="92"/>
      <c r="Y53" s="92"/>
      <c r="Z53" s="92"/>
      <c r="AA53" s="93"/>
    </row>
  </sheetData>
  <sheetProtection sheet="1" objects="1" scenarios="1" selectLockedCells="1" sort="0" autoFilter="0"/>
  <mergeCells count="284">
    <mergeCell ref="A3:F3"/>
    <mergeCell ref="H3:M3"/>
    <mergeCell ref="O3:T3"/>
    <mergeCell ref="V3:AA3"/>
    <mergeCell ref="A4:F4"/>
    <mergeCell ref="H4:M4"/>
    <mergeCell ref="O4:T4"/>
    <mergeCell ref="V4:AA4"/>
    <mergeCell ref="A1:F1"/>
    <mergeCell ref="H1:M1"/>
    <mergeCell ref="O1:T1"/>
    <mergeCell ref="V1:AA1"/>
    <mergeCell ref="A2:F2"/>
    <mergeCell ref="H2:M2"/>
    <mergeCell ref="O2:T2"/>
    <mergeCell ref="V2:AA2"/>
    <mergeCell ref="A7:F7"/>
    <mergeCell ref="H7:M7"/>
    <mergeCell ref="O7:T7"/>
    <mergeCell ref="V7:AA7"/>
    <mergeCell ref="A8:F8"/>
    <mergeCell ref="H8:M8"/>
    <mergeCell ref="O8:T8"/>
    <mergeCell ref="V8:AA8"/>
    <mergeCell ref="A5:F5"/>
    <mergeCell ref="H5:M5"/>
    <mergeCell ref="O5:T5"/>
    <mergeCell ref="V5:AA5"/>
    <mergeCell ref="A6:F6"/>
    <mergeCell ref="H6:M6"/>
    <mergeCell ref="O6:T6"/>
    <mergeCell ref="V6:AA6"/>
    <mergeCell ref="A11:F11"/>
    <mergeCell ref="H11:M11"/>
    <mergeCell ref="O11:T11"/>
    <mergeCell ref="V11:AA11"/>
    <mergeCell ref="A12:F12"/>
    <mergeCell ref="H12:M12"/>
    <mergeCell ref="O12:T12"/>
    <mergeCell ref="V12:AA12"/>
    <mergeCell ref="A9:F9"/>
    <mergeCell ref="H9:M9"/>
    <mergeCell ref="O9:T9"/>
    <mergeCell ref="V9:AA9"/>
    <mergeCell ref="A10:F10"/>
    <mergeCell ref="H10:M10"/>
    <mergeCell ref="O10:T10"/>
    <mergeCell ref="V10:AA10"/>
    <mergeCell ref="A15:F15"/>
    <mergeCell ref="H15:M15"/>
    <mergeCell ref="O15:T15"/>
    <mergeCell ref="V15:AA15"/>
    <mergeCell ref="A16:F16"/>
    <mergeCell ref="H16:M16"/>
    <mergeCell ref="O16:T16"/>
    <mergeCell ref="V16:AA16"/>
    <mergeCell ref="A13:F13"/>
    <mergeCell ref="H13:M13"/>
    <mergeCell ref="O13:T13"/>
    <mergeCell ref="V13:AA13"/>
    <mergeCell ref="A14:F14"/>
    <mergeCell ref="H14:M14"/>
    <mergeCell ref="O14:T14"/>
    <mergeCell ref="V14:AA14"/>
    <mergeCell ref="A19:F19"/>
    <mergeCell ref="H19:M19"/>
    <mergeCell ref="O19:T19"/>
    <mergeCell ref="V19:AA19"/>
    <mergeCell ref="B20:F20"/>
    <mergeCell ref="I20:M20"/>
    <mergeCell ref="P20:T20"/>
    <mergeCell ref="W20:AA20"/>
    <mergeCell ref="A17:F17"/>
    <mergeCell ref="H17:M17"/>
    <mergeCell ref="O17:T17"/>
    <mergeCell ref="V17:AA17"/>
    <mergeCell ref="A18:F18"/>
    <mergeCell ref="H18:M18"/>
    <mergeCell ref="O18:T18"/>
    <mergeCell ref="V18:AA18"/>
    <mergeCell ref="W21:X21"/>
    <mergeCell ref="A22:B22"/>
    <mergeCell ref="C22:E22"/>
    <mergeCell ref="H22:I22"/>
    <mergeCell ref="J22:L22"/>
    <mergeCell ref="O22:P22"/>
    <mergeCell ref="Q22:S22"/>
    <mergeCell ref="V22:W22"/>
    <mergeCell ref="X22:Z22"/>
    <mergeCell ref="B21:C21"/>
    <mergeCell ref="I21:J21"/>
    <mergeCell ref="P21:Q21"/>
    <mergeCell ref="D21:F21"/>
    <mergeCell ref="Y21:AA21"/>
    <mergeCell ref="K21:M21"/>
    <mergeCell ref="R21:T21"/>
    <mergeCell ref="V23:W23"/>
    <mergeCell ref="X23:Z23"/>
    <mergeCell ref="A24:B24"/>
    <mergeCell ref="C24:F24"/>
    <mergeCell ref="H24:I24"/>
    <mergeCell ref="J24:M24"/>
    <mergeCell ref="O24:P24"/>
    <mergeCell ref="Q24:T24"/>
    <mergeCell ref="V24:W24"/>
    <mergeCell ref="X24:AA24"/>
    <mergeCell ref="A23:B23"/>
    <mergeCell ref="C23:E23"/>
    <mergeCell ref="H23:I23"/>
    <mergeCell ref="J23:L23"/>
    <mergeCell ref="O23:P23"/>
    <mergeCell ref="Q23:S23"/>
    <mergeCell ref="A26:F26"/>
    <mergeCell ref="H26:M26"/>
    <mergeCell ref="O26:T26"/>
    <mergeCell ref="V26:AA26"/>
    <mergeCell ref="A27:F27"/>
    <mergeCell ref="H27:M27"/>
    <mergeCell ref="O27:T27"/>
    <mergeCell ref="V27:AA27"/>
    <mergeCell ref="O25:P25"/>
    <mergeCell ref="Q25:R25"/>
    <mergeCell ref="S25:T25"/>
    <mergeCell ref="V25:W25"/>
    <mergeCell ref="X25:Y25"/>
    <mergeCell ref="Z25:AA25"/>
    <mergeCell ref="A25:B25"/>
    <mergeCell ref="C25:D25"/>
    <mergeCell ref="E25:F25"/>
    <mergeCell ref="H25:I25"/>
    <mergeCell ref="J25:K25"/>
    <mergeCell ref="L25:M25"/>
    <mergeCell ref="A30:F30"/>
    <mergeCell ref="H30:M30"/>
    <mergeCell ref="O30:T30"/>
    <mergeCell ref="V30:AA30"/>
    <mergeCell ref="A31:F31"/>
    <mergeCell ref="H31:M31"/>
    <mergeCell ref="O31:T31"/>
    <mergeCell ref="V31:AA31"/>
    <mergeCell ref="A28:F28"/>
    <mergeCell ref="H28:M28"/>
    <mergeCell ref="O28:T28"/>
    <mergeCell ref="V28:AA28"/>
    <mergeCell ref="A29:F29"/>
    <mergeCell ref="H29:M29"/>
    <mergeCell ref="O29:T29"/>
    <mergeCell ref="V29:AA29"/>
    <mergeCell ref="A34:F34"/>
    <mergeCell ref="H34:M34"/>
    <mergeCell ref="O34:T34"/>
    <mergeCell ref="V34:AA34"/>
    <mergeCell ref="B35:C35"/>
    <mergeCell ref="I35:J35"/>
    <mergeCell ref="P35:Q35"/>
    <mergeCell ref="B32:F32"/>
    <mergeCell ref="I32:M32"/>
    <mergeCell ref="P32:T32"/>
    <mergeCell ref="W32:AA32"/>
    <mergeCell ref="A33:F33"/>
    <mergeCell ref="H33:M33"/>
    <mergeCell ref="O33:T33"/>
    <mergeCell ref="V33:AA33"/>
    <mergeCell ref="W35:X35"/>
    <mergeCell ref="R35:T35"/>
    <mergeCell ref="D35:F35"/>
    <mergeCell ref="Y35:AA35"/>
    <mergeCell ref="K35:M35"/>
    <mergeCell ref="A36:B36"/>
    <mergeCell ref="C36:E36"/>
    <mergeCell ref="H36:I36"/>
    <mergeCell ref="J36:L36"/>
    <mergeCell ref="O36:P36"/>
    <mergeCell ref="Q36:S36"/>
    <mergeCell ref="V36:W36"/>
    <mergeCell ref="X36:Z36"/>
    <mergeCell ref="V37:W37"/>
    <mergeCell ref="X37:Z37"/>
    <mergeCell ref="A38:B38"/>
    <mergeCell ref="C38:F38"/>
    <mergeCell ref="H38:I38"/>
    <mergeCell ref="J38:M38"/>
    <mergeCell ref="O38:P38"/>
    <mergeCell ref="Q38:T38"/>
    <mergeCell ref="V38:W38"/>
    <mergeCell ref="X38:AA38"/>
    <mergeCell ref="A37:B37"/>
    <mergeCell ref="C37:E37"/>
    <mergeCell ref="H37:I37"/>
    <mergeCell ref="J37:L37"/>
    <mergeCell ref="O37:P37"/>
    <mergeCell ref="Q37:S37"/>
    <mergeCell ref="A40:F40"/>
    <mergeCell ref="H40:M40"/>
    <mergeCell ref="O40:T40"/>
    <mergeCell ref="V40:AA40"/>
    <mergeCell ref="A41:F41"/>
    <mergeCell ref="H41:M41"/>
    <mergeCell ref="O41:T41"/>
    <mergeCell ref="V41:AA41"/>
    <mergeCell ref="O39:P39"/>
    <mergeCell ref="Q39:R39"/>
    <mergeCell ref="S39:T39"/>
    <mergeCell ref="V39:W39"/>
    <mergeCell ref="X39:Y39"/>
    <mergeCell ref="Z39:AA39"/>
    <mergeCell ref="A39:B39"/>
    <mergeCell ref="C39:D39"/>
    <mergeCell ref="E39:F39"/>
    <mergeCell ref="H39:I39"/>
    <mergeCell ref="J39:K39"/>
    <mergeCell ref="L39:M39"/>
    <mergeCell ref="A48:B48"/>
    <mergeCell ref="C48:E48"/>
    <mergeCell ref="H48:I48"/>
    <mergeCell ref="J48:L48"/>
    <mergeCell ref="O48:P48"/>
    <mergeCell ref="Q48:S48"/>
    <mergeCell ref="V48:W48"/>
    <mergeCell ref="X48:Z48"/>
    <mergeCell ref="B46:F46"/>
    <mergeCell ref="I46:M46"/>
    <mergeCell ref="P46:T46"/>
    <mergeCell ref="W46:AA46"/>
    <mergeCell ref="B47:C47"/>
    <mergeCell ref="I47:J47"/>
    <mergeCell ref="P47:Q47"/>
    <mergeCell ref="R47:T47"/>
    <mergeCell ref="D47:F47"/>
    <mergeCell ref="Y47:AA47"/>
    <mergeCell ref="K47:M47"/>
    <mergeCell ref="W47:X47"/>
    <mergeCell ref="V49:W49"/>
    <mergeCell ref="X49:Z49"/>
    <mergeCell ref="A50:B50"/>
    <mergeCell ref="C50:F50"/>
    <mergeCell ref="H50:I50"/>
    <mergeCell ref="J50:M50"/>
    <mergeCell ref="O50:P50"/>
    <mergeCell ref="Q50:T50"/>
    <mergeCell ref="V50:W50"/>
    <mergeCell ref="X50:AA50"/>
    <mergeCell ref="A49:B49"/>
    <mergeCell ref="C49:E49"/>
    <mergeCell ref="H49:I49"/>
    <mergeCell ref="J49:L49"/>
    <mergeCell ref="O49:P49"/>
    <mergeCell ref="Q49:S49"/>
    <mergeCell ref="A52:F52"/>
    <mergeCell ref="H52:M52"/>
    <mergeCell ref="O52:T52"/>
    <mergeCell ref="V52:AA52"/>
    <mergeCell ref="A53:F53"/>
    <mergeCell ref="H53:M53"/>
    <mergeCell ref="O53:T53"/>
    <mergeCell ref="V53:AA53"/>
    <mergeCell ref="O51:P51"/>
    <mergeCell ref="Q51:R51"/>
    <mergeCell ref="S51:T51"/>
    <mergeCell ref="V51:W51"/>
    <mergeCell ref="X51:Y51"/>
    <mergeCell ref="Z51:AA51"/>
    <mergeCell ref="A51:B51"/>
    <mergeCell ref="C51:D51"/>
    <mergeCell ref="E51:F51"/>
    <mergeCell ref="H51:I51"/>
    <mergeCell ref="J51:K51"/>
    <mergeCell ref="L51:M51"/>
    <mergeCell ref="A44:F44"/>
    <mergeCell ref="H44:M44"/>
    <mergeCell ref="O44:T44"/>
    <mergeCell ref="V44:AA44"/>
    <mergeCell ref="A45:F45"/>
    <mergeCell ref="H45:M45"/>
    <mergeCell ref="O45:T45"/>
    <mergeCell ref="V45:AA45"/>
    <mergeCell ref="A42:F42"/>
    <mergeCell ref="H42:M42"/>
    <mergeCell ref="O42:T42"/>
    <mergeCell ref="V42:AA42"/>
    <mergeCell ref="A43:F43"/>
    <mergeCell ref="H43:M43"/>
    <mergeCell ref="O43:T43"/>
    <mergeCell ref="V43:AA43"/>
  </mergeCells>
  <printOptions horizontalCentered="1" verticalCentered="1"/>
  <pageMargins left="0" right="0" top="0" bottom="0" header="0" footer="0"/>
  <pageSetup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O53"/>
  <sheetViews>
    <sheetView workbookViewId="0">
      <selection activeCell="A2" sqref="A2"/>
    </sheetView>
  </sheetViews>
  <sheetFormatPr defaultColWidth="9.140625" defaultRowHeight="15" x14ac:dyDescent="0.25"/>
  <cols>
    <col min="1" max="3" width="25.7109375" style="13" customWidth="1"/>
    <col min="4" max="7" width="9.140625" style="13"/>
    <col min="8" max="8" width="15.7109375" style="13" customWidth="1"/>
    <col min="9" max="9" width="9.140625" style="13"/>
    <col min="10" max="15" width="12.5703125" style="13" customWidth="1"/>
    <col min="16" max="16384" width="9.140625" style="13"/>
  </cols>
  <sheetData>
    <row r="1" spans="1:15" ht="15.75" thickBot="1" x14ac:dyDescent="0.3">
      <c r="A1" s="18" t="s">
        <v>92</v>
      </c>
      <c r="B1" s="18" t="s">
        <v>93</v>
      </c>
      <c r="C1" s="18" t="s">
        <v>35</v>
      </c>
      <c r="E1" s="160" t="s">
        <v>12</v>
      </c>
      <c r="F1" s="161"/>
      <c r="H1" s="16" t="s">
        <v>0</v>
      </c>
      <c r="J1" s="137" t="s">
        <v>10</v>
      </c>
      <c r="K1" s="138"/>
      <c r="L1" s="138"/>
      <c r="M1" s="138"/>
      <c r="N1" s="138"/>
      <c r="O1" s="139"/>
    </row>
    <row r="2" spans="1:15" ht="15.75" thickBot="1" x14ac:dyDescent="0.3">
      <c r="A2" s="14" t="s">
        <v>41</v>
      </c>
      <c r="B2" s="28" t="s">
        <v>98</v>
      </c>
      <c r="C2" s="14" t="s">
        <v>102</v>
      </c>
      <c r="E2" s="158" t="s">
        <v>114</v>
      </c>
      <c r="F2" s="159"/>
      <c r="H2" s="17"/>
      <c r="J2" s="140" t="s">
        <v>128</v>
      </c>
      <c r="K2" s="141"/>
      <c r="L2" s="141"/>
      <c r="M2" s="141"/>
      <c r="N2" s="141"/>
      <c r="O2" s="142"/>
    </row>
    <row r="3" spans="1:15" x14ac:dyDescent="0.25">
      <c r="A3" s="15" t="s">
        <v>42</v>
      </c>
      <c r="B3" s="29" t="s">
        <v>99</v>
      </c>
      <c r="C3" s="15" t="s">
        <v>103</v>
      </c>
      <c r="J3" s="143"/>
      <c r="K3" s="144"/>
      <c r="L3" s="144"/>
      <c r="M3" s="144"/>
      <c r="N3" s="144"/>
      <c r="O3" s="145"/>
    </row>
    <row r="4" spans="1:15" ht="15.75" thickBot="1" x14ac:dyDescent="0.3">
      <c r="A4" s="15" t="s">
        <v>43</v>
      </c>
      <c r="B4" s="29" t="s">
        <v>94</v>
      </c>
      <c r="C4" s="15" t="s">
        <v>36</v>
      </c>
      <c r="J4" s="146"/>
      <c r="K4" s="147"/>
      <c r="L4" s="147"/>
      <c r="M4" s="147"/>
      <c r="N4" s="147"/>
      <c r="O4" s="148"/>
    </row>
    <row r="5" spans="1:15" ht="15.75" thickBot="1" x14ac:dyDescent="0.3">
      <c r="A5" s="15" t="s">
        <v>44</v>
      </c>
      <c r="B5" s="29" t="s">
        <v>100</v>
      </c>
      <c r="C5" s="15"/>
    </row>
    <row r="6" spans="1:15" ht="15.75" thickBot="1" x14ac:dyDescent="0.3">
      <c r="A6" s="48" t="s">
        <v>45</v>
      </c>
      <c r="B6" s="50" t="s">
        <v>101</v>
      </c>
      <c r="C6" s="48"/>
      <c r="J6" s="149" t="s">
        <v>11</v>
      </c>
      <c r="K6" s="150"/>
      <c r="L6" s="150"/>
      <c r="M6" s="150"/>
      <c r="N6" s="150"/>
      <c r="O6" s="151"/>
    </row>
    <row r="7" spans="1:15" ht="15.75" thickBot="1" x14ac:dyDescent="0.3">
      <c r="A7" s="15" t="s">
        <v>46</v>
      </c>
      <c r="B7" s="29"/>
      <c r="C7" s="18" t="s">
        <v>37</v>
      </c>
      <c r="J7" s="152" t="s">
        <v>13</v>
      </c>
      <c r="K7" s="153"/>
      <c r="L7" s="153"/>
      <c r="M7" s="153"/>
      <c r="N7" s="153"/>
      <c r="O7" s="154"/>
    </row>
    <row r="8" spans="1:15" x14ac:dyDescent="0.25">
      <c r="A8" s="15" t="s">
        <v>47</v>
      </c>
      <c r="B8" s="29"/>
      <c r="C8" s="14" t="s">
        <v>104</v>
      </c>
      <c r="J8" s="152"/>
      <c r="K8" s="153"/>
      <c r="L8" s="153"/>
      <c r="M8" s="153"/>
      <c r="N8" s="153"/>
      <c r="O8" s="154"/>
    </row>
    <row r="9" spans="1:15" ht="15" customHeight="1" x14ac:dyDescent="0.25">
      <c r="A9" s="15" t="s">
        <v>48</v>
      </c>
      <c r="B9" s="29"/>
      <c r="C9" s="15" t="s">
        <v>105</v>
      </c>
      <c r="J9" s="152"/>
      <c r="K9" s="153"/>
      <c r="L9" s="153"/>
      <c r="M9" s="153"/>
      <c r="N9" s="153"/>
      <c r="O9" s="154"/>
    </row>
    <row r="10" spans="1:15" x14ac:dyDescent="0.25">
      <c r="A10" s="15" t="s">
        <v>49</v>
      </c>
      <c r="B10" s="29"/>
      <c r="C10" s="15" t="s">
        <v>106</v>
      </c>
      <c r="J10" s="152"/>
      <c r="K10" s="153"/>
      <c r="L10" s="153"/>
      <c r="M10" s="153"/>
      <c r="N10" s="153"/>
      <c r="O10" s="154"/>
    </row>
    <row r="11" spans="1:15" ht="15.75" thickBot="1" x14ac:dyDescent="0.3">
      <c r="A11" s="48" t="s">
        <v>28</v>
      </c>
      <c r="B11" s="50"/>
      <c r="C11" s="48" t="s">
        <v>107</v>
      </c>
      <c r="J11" s="152"/>
      <c r="K11" s="153"/>
      <c r="L11" s="153"/>
      <c r="M11" s="153"/>
      <c r="N11" s="153"/>
      <c r="O11" s="154"/>
    </row>
    <row r="12" spans="1:15" ht="15.75" thickBot="1" x14ac:dyDescent="0.3">
      <c r="A12" s="48" t="s">
        <v>50</v>
      </c>
      <c r="B12" s="18" t="s">
        <v>32</v>
      </c>
      <c r="C12" s="48" t="s">
        <v>38</v>
      </c>
      <c r="J12" s="152"/>
      <c r="K12" s="153"/>
      <c r="L12" s="153"/>
      <c r="M12" s="153"/>
      <c r="N12" s="153"/>
      <c r="O12" s="154"/>
    </row>
    <row r="13" spans="1:15" x14ac:dyDescent="0.25">
      <c r="A13" s="48" t="s">
        <v>51</v>
      </c>
      <c r="B13" s="28" t="s">
        <v>97</v>
      </c>
      <c r="C13" s="48" t="s">
        <v>108</v>
      </c>
      <c r="J13" s="152"/>
      <c r="K13" s="153"/>
      <c r="L13" s="153"/>
      <c r="M13" s="153"/>
      <c r="N13" s="153"/>
      <c r="O13" s="154"/>
    </row>
    <row r="14" spans="1:15" x14ac:dyDescent="0.25">
      <c r="A14" s="48" t="s">
        <v>52</v>
      </c>
      <c r="B14" s="29" t="s">
        <v>33</v>
      </c>
      <c r="C14" s="48" t="s">
        <v>109</v>
      </c>
      <c r="J14" s="152"/>
      <c r="K14" s="153"/>
      <c r="L14" s="153"/>
      <c r="M14" s="153"/>
      <c r="N14" s="153"/>
      <c r="O14" s="154"/>
    </row>
    <row r="15" spans="1:15" x14ac:dyDescent="0.25">
      <c r="A15" s="15" t="s">
        <v>53</v>
      </c>
      <c r="B15" s="29"/>
      <c r="C15" s="15"/>
      <c r="J15" s="152"/>
      <c r="K15" s="153"/>
      <c r="L15" s="153"/>
      <c r="M15" s="153"/>
      <c r="N15" s="153"/>
      <c r="O15" s="154"/>
    </row>
    <row r="16" spans="1:15" x14ac:dyDescent="0.25">
      <c r="A16" s="15" t="s">
        <v>54</v>
      </c>
      <c r="B16" s="29"/>
      <c r="C16" s="15"/>
      <c r="J16" s="152"/>
      <c r="K16" s="153"/>
      <c r="L16" s="153"/>
      <c r="M16" s="153"/>
      <c r="N16" s="153"/>
      <c r="O16" s="154"/>
    </row>
    <row r="17" spans="1:15" ht="15.75" thickBot="1" x14ac:dyDescent="0.3">
      <c r="A17" s="48" t="s">
        <v>55</v>
      </c>
      <c r="B17" s="50"/>
      <c r="C17" s="49"/>
      <c r="J17" s="152"/>
      <c r="K17" s="153"/>
      <c r="L17" s="153"/>
      <c r="M17" s="153"/>
      <c r="N17" s="153"/>
      <c r="O17" s="154"/>
    </row>
    <row r="18" spans="1:15" x14ac:dyDescent="0.25">
      <c r="A18" s="48" t="s">
        <v>56</v>
      </c>
      <c r="B18" s="29"/>
      <c r="J18" s="152"/>
      <c r="K18" s="153"/>
      <c r="L18" s="153"/>
      <c r="M18" s="153"/>
      <c r="N18" s="153"/>
      <c r="O18" s="154"/>
    </row>
    <row r="19" spans="1:15" x14ac:dyDescent="0.25">
      <c r="A19" s="48" t="s">
        <v>57</v>
      </c>
      <c r="B19" s="29"/>
      <c r="J19" s="152"/>
      <c r="K19" s="153"/>
      <c r="L19" s="153"/>
      <c r="M19" s="153"/>
      <c r="N19" s="153"/>
      <c r="O19" s="154"/>
    </row>
    <row r="20" spans="1:15" x14ac:dyDescent="0.25">
      <c r="A20" s="48" t="s">
        <v>58</v>
      </c>
      <c r="B20" s="29"/>
      <c r="J20" s="152"/>
      <c r="K20" s="153"/>
      <c r="L20" s="153"/>
      <c r="M20" s="153"/>
      <c r="N20" s="153"/>
      <c r="O20" s="154"/>
    </row>
    <row r="21" spans="1:15" x14ac:dyDescent="0.25">
      <c r="A21" s="48" t="s">
        <v>59</v>
      </c>
      <c r="B21" s="29"/>
      <c r="J21" s="152"/>
      <c r="K21" s="153"/>
      <c r="L21" s="153"/>
      <c r="M21" s="153"/>
      <c r="N21" s="153"/>
      <c r="O21" s="154"/>
    </row>
    <row r="22" spans="1:15" ht="15.75" thickBot="1" x14ac:dyDescent="0.3">
      <c r="A22" s="48" t="s">
        <v>60</v>
      </c>
      <c r="B22" s="50"/>
      <c r="J22" s="152"/>
      <c r="K22" s="153"/>
      <c r="L22" s="153"/>
      <c r="M22" s="153"/>
      <c r="N22" s="153"/>
      <c r="O22" s="154"/>
    </row>
    <row r="23" spans="1:15" ht="15.75" thickBot="1" x14ac:dyDescent="0.3">
      <c r="A23" s="48" t="s">
        <v>61</v>
      </c>
      <c r="B23" s="30" t="s">
        <v>110</v>
      </c>
      <c r="J23" s="152"/>
      <c r="K23" s="153"/>
      <c r="L23" s="153"/>
      <c r="M23" s="153"/>
      <c r="N23" s="153"/>
      <c r="O23" s="154"/>
    </row>
    <row r="24" spans="1:15" x14ac:dyDescent="0.25">
      <c r="A24" s="48" t="s">
        <v>62</v>
      </c>
      <c r="B24" s="51" t="s">
        <v>96</v>
      </c>
      <c r="J24" s="152"/>
      <c r="K24" s="153"/>
      <c r="L24" s="153"/>
      <c r="M24" s="153"/>
      <c r="N24" s="153"/>
      <c r="O24" s="154"/>
    </row>
    <row r="25" spans="1:15" x14ac:dyDescent="0.25">
      <c r="A25" s="48" t="s">
        <v>63</v>
      </c>
      <c r="B25" s="50" t="s">
        <v>111</v>
      </c>
      <c r="J25" s="152"/>
      <c r="K25" s="153"/>
      <c r="L25" s="153"/>
      <c r="M25" s="153"/>
      <c r="N25" s="153"/>
      <c r="O25" s="154"/>
    </row>
    <row r="26" spans="1:15" x14ac:dyDescent="0.25">
      <c r="A26" s="48" t="s">
        <v>64</v>
      </c>
      <c r="B26" s="29" t="s">
        <v>112</v>
      </c>
      <c r="J26" s="152"/>
      <c r="K26" s="153"/>
      <c r="L26" s="153"/>
      <c r="M26" s="153"/>
      <c r="N26" s="153"/>
      <c r="O26" s="154"/>
    </row>
    <row r="27" spans="1:15" x14ac:dyDescent="0.25">
      <c r="A27" s="48" t="s">
        <v>65</v>
      </c>
      <c r="B27" s="29" t="s">
        <v>113</v>
      </c>
      <c r="J27" s="152"/>
      <c r="K27" s="153"/>
      <c r="L27" s="153"/>
      <c r="M27" s="153"/>
      <c r="N27" s="153"/>
      <c r="O27" s="154"/>
    </row>
    <row r="28" spans="1:15" x14ac:dyDescent="0.25">
      <c r="A28" s="48" t="s">
        <v>66</v>
      </c>
      <c r="B28" s="50"/>
      <c r="J28" s="152"/>
      <c r="K28" s="153"/>
      <c r="L28" s="153"/>
      <c r="M28" s="153"/>
      <c r="N28" s="153"/>
      <c r="O28" s="154"/>
    </row>
    <row r="29" spans="1:15" x14ac:dyDescent="0.25">
      <c r="A29" s="48" t="s">
        <v>67</v>
      </c>
      <c r="B29" s="50"/>
      <c r="J29" s="152"/>
      <c r="K29" s="153"/>
      <c r="L29" s="153"/>
      <c r="M29" s="153"/>
      <c r="N29" s="153"/>
      <c r="O29" s="154"/>
    </row>
    <row r="30" spans="1:15" x14ac:dyDescent="0.25">
      <c r="A30" s="48" t="s">
        <v>68</v>
      </c>
      <c r="B30" s="50"/>
      <c r="J30" s="152"/>
      <c r="K30" s="153"/>
      <c r="L30" s="153"/>
      <c r="M30" s="153"/>
      <c r="N30" s="153"/>
      <c r="O30" s="154"/>
    </row>
    <row r="31" spans="1:15" x14ac:dyDescent="0.25">
      <c r="A31" s="48" t="s">
        <v>69</v>
      </c>
      <c r="B31" s="50"/>
      <c r="J31" s="152"/>
      <c r="K31" s="153"/>
      <c r="L31" s="153"/>
      <c r="M31" s="153"/>
      <c r="N31" s="153"/>
      <c r="O31" s="154"/>
    </row>
    <row r="32" spans="1:15" x14ac:dyDescent="0.25">
      <c r="A32" s="48" t="s">
        <v>70</v>
      </c>
      <c r="B32" s="50"/>
      <c r="J32" s="152"/>
      <c r="K32" s="153"/>
      <c r="L32" s="153"/>
      <c r="M32" s="153"/>
      <c r="N32" s="153"/>
      <c r="O32" s="154"/>
    </row>
    <row r="33" spans="1:15" ht="15.75" thickBot="1" x14ac:dyDescent="0.3">
      <c r="A33" s="48" t="s">
        <v>71</v>
      </c>
      <c r="B33" s="52"/>
      <c r="J33" s="152"/>
      <c r="K33" s="153"/>
      <c r="L33" s="153"/>
      <c r="M33" s="153"/>
      <c r="N33" s="153"/>
      <c r="O33" s="154"/>
    </row>
    <row r="34" spans="1:15" ht="15.75" thickBot="1" x14ac:dyDescent="0.3">
      <c r="A34" s="48" t="s">
        <v>72</v>
      </c>
      <c r="B34" s="30" t="s">
        <v>30</v>
      </c>
      <c r="J34" s="155"/>
      <c r="K34" s="156"/>
      <c r="L34" s="156"/>
      <c r="M34" s="156"/>
      <c r="N34" s="156"/>
      <c r="O34" s="157"/>
    </row>
    <row r="35" spans="1:15" x14ac:dyDescent="0.25">
      <c r="A35" s="48" t="s">
        <v>73</v>
      </c>
      <c r="B35" s="53">
        <v>25</v>
      </c>
    </row>
    <row r="36" spans="1:15" x14ac:dyDescent="0.25">
      <c r="A36" s="48" t="s">
        <v>74</v>
      </c>
      <c r="B36" s="48">
        <v>50</v>
      </c>
    </row>
    <row r="37" spans="1:15" x14ac:dyDescent="0.25">
      <c r="A37" s="48" t="s">
        <v>75</v>
      </c>
      <c r="B37" s="48">
        <v>75</v>
      </c>
    </row>
    <row r="38" spans="1:15" x14ac:dyDescent="0.25">
      <c r="A38" s="48" t="s">
        <v>76</v>
      </c>
      <c r="B38" s="48"/>
    </row>
    <row r="39" spans="1:15" ht="15.75" thickBot="1" x14ac:dyDescent="0.3">
      <c r="A39" s="48" t="s">
        <v>77</v>
      </c>
      <c r="B39" s="49"/>
    </row>
    <row r="40" spans="1:15" ht="15.75" thickBot="1" x14ac:dyDescent="0.3">
      <c r="A40" s="48" t="s">
        <v>78</v>
      </c>
      <c r="B40" s="30" t="s">
        <v>115</v>
      </c>
    </row>
    <row r="41" spans="1:15" x14ac:dyDescent="0.25">
      <c r="A41" s="48" t="s">
        <v>79</v>
      </c>
      <c r="B41" s="53" t="s">
        <v>116</v>
      </c>
    </row>
    <row r="42" spans="1:15" x14ac:dyDescent="0.25">
      <c r="A42" s="48" t="s">
        <v>80</v>
      </c>
      <c r="B42" s="48" t="s">
        <v>117</v>
      </c>
    </row>
    <row r="43" spans="1:15" x14ac:dyDescent="0.25">
      <c r="A43" s="48" t="s">
        <v>81</v>
      </c>
      <c r="B43" s="15" t="s">
        <v>118</v>
      </c>
    </row>
    <row r="44" spans="1:15" x14ac:dyDescent="0.25">
      <c r="A44" s="48" t="s">
        <v>82</v>
      </c>
      <c r="B44" s="15" t="s">
        <v>119</v>
      </c>
    </row>
    <row r="45" spans="1:15" x14ac:dyDescent="0.25">
      <c r="A45" s="48" t="s">
        <v>83</v>
      </c>
      <c r="B45" s="48" t="s">
        <v>120</v>
      </c>
    </row>
    <row r="46" spans="1:15" x14ac:dyDescent="0.25">
      <c r="A46" s="48" t="s">
        <v>84</v>
      </c>
      <c r="B46" s="48" t="s">
        <v>121</v>
      </c>
    </row>
    <row r="47" spans="1:15" x14ac:dyDescent="0.25">
      <c r="A47" s="48" t="s">
        <v>85</v>
      </c>
      <c r="B47" s="48" t="s">
        <v>122</v>
      </c>
    </row>
    <row r="48" spans="1:15" ht="15.75" thickBot="1" x14ac:dyDescent="0.3">
      <c r="A48" s="48" t="s">
        <v>86</v>
      </c>
      <c r="B48" s="49" t="s">
        <v>123</v>
      </c>
    </row>
    <row r="49" spans="1:1" x14ac:dyDescent="0.25">
      <c r="A49" s="48" t="s">
        <v>87</v>
      </c>
    </row>
    <row r="50" spans="1:1" x14ac:dyDescent="0.25">
      <c r="A50" s="48" t="s">
        <v>88</v>
      </c>
    </row>
    <row r="51" spans="1:1" x14ac:dyDescent="0.25">
      <c r="A51" s="48" t="s">
        <v>89</v>
      </c>
    </row>
    <row r="52" spans="1:1" x14ac:dyDescent="0.25">
      <c r="A52" s="48" t="s">
        <v>90</v>
      </c>
    </row>
    <row r="53" spans="1:1" ht="15.75" thickBot="1" x14ac:dyDescent="0.3">
      <c r="A53" s="49" t="s">
        <v>91</v>
      </c>
    </row>
  </sheetData>
  <sheetProtection sheet="1" objects="1" scenarios="1" selectLockedCells="1" sort="0" autoFilter="0"/>
  <sortState xmlns:xlrd2="http://schemas.microsoft.com/office/spreadsheetml/2017/richdata2" ref="C3:C14">
    <sortCondition ref="C14"/>
  </sortState>
  <mergeCells count="6">
    <mergeCell ref="J1:O1"/>
    <mergeCell ref="J2:O4"/>
    <mergeCell ref="J6:O6"/>
    <mergeCell ref="J7:O34"/>
    <mergeCell ref="E2:F2"/>
    <mergeCell ref="E1:F1"/>
  </mergeCells>
  <pageMargins left="0.7" right="0.7" top="0.75" bottom="0.75" header="0.3" footer="0.3"/>
  <pageSetup paperSize="11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Change_Password">
                <anchor moveWithCells="1" sizeWithCells="1">
                  <from>
                    <xdr:col>7</xdr:col>
                    <xdr:colOff>95250</xdr:colOff>
                    <xdr:row>3</xdr:row>
                    <xdr:rowOff>76200</xdr:rowOff>
                  </from>
                  <to>
                    <xdr:col>7</xdr:col>
                    <xdr:colOff>933450</xdr:colOff>
                    <xdr:row>5</xdr:row>
                    <xdr:rowOff>104775</xdr:rowOff>
                  </to>
                </anchor>
              </controlPr>
            </control>
          </mc:Choice>
        </mc:AlternateContent>
        <mc:AlternateContent xmlns:mc="http://schemas.openxmlformats.org/markup-compatibility/2006">
          <mc:Choice Requires="x14">
            <control shapeId="4099" r:id="rId5" name="ExtDevMd">
              <controlPr defaultSize="0" print="0" autoFill="0" autoPict="0" macro="[0]!Toggle_DevMode">
                <anchor moveWithCells="1" sizeWithCells="1">
                  <from>
                    <xdr:col>15</xdr:col>
                    <xdr:colOff>190500</xdr:colOff>
                    <xdr:row>1</xdr:row>
                    <xdr:rowOff>76200</xdr:rowOff>
                  </from>
                  <to>
                    <xdr:col>16</xdr:col>
                    <xdr:colOff>209550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Welcome</vt:lpstr>
    </vt:vector>
  </TitlesOfParts>
  <Company>Collins Aerospace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Duncan</dc:creator>
  <cp:keywords>Unrestricted</cp:keywords>
  <cp:lastModifiedBy>Jeffreys, Duncan A (US)</cp:lastModifiedBy>
  <cp:lastPrinted>2023-01-18T15:55:05Z</cp:lastPrinted>
  <dcterms:created xsi:type="dcterms:W3CDTF">2021-03-09T19:36:23Z</dcterms:created>
  <dcterms:modified xsi:type="dcterms:W3CDTF">2023-01-18T19:33:31Z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447dd6a-a4a1-440b-a6a3-9124ef1ee017_Enabled">
    <vt:lpwstr>true</vt:lpwstr>
  </property>
  <property fmtid="{D5CDD505-2E9C-101B-9397-08002B2CF9AE}" pid="3" name="MSIP_Label_4447dd6a-a4a1-440b-a6a3-9124ef1ee017_SetDate">
    <vt:lpwstr>2021-11-08T13:31:17Z</vt:lpwstr>
  </property>
  <property fmtid="{D5CDD505-2E9C-101B-9397-08002B2CF9AE}" pid="4" name="MSIP_Label_4447dd6a-a4a1-440b-a6a3-9124ef1ee017_Method">
    <vt:lpwstr>Privileged</vt:lpwstr>
  </property>
  <property fmtid="{D5CDD505-2E9C-101B-9397-08002B2CF9AE}" pid="5" name="MSIP_Label_4447dd6a-a4a1-440b-a6a3-9124ef1ee017_Name">
    <vt:lpwstr>NO TECH DATA</vt:lpwstr>
  </property>
  <property fmtid="{D5CDD505-2E9C-101B-9397-08002B2CF9AE}" pid="6" name="MSIP_Label_4447dd6a-a4a1-440b-a6a3-9124ef1ee017_SiteId">
    <vt:lpwstr>7a18110d-ef9b-4274-acef-e62ab0fe28ed</vt:lpwstr>
  </property>
  <property fmtid="{D5CDD505-2E9C-101B-9397-08002B2CF9AE}" pid="7" name="MSIP_Label_4447dd6a-a4a1-440b-a6a3-9124ef1ee017_ActionId">
    <vt:lpwstr>d38680a0-e924-4eb1-8250-655cfa58404d</vt:lpwstr>
  </property>
  <property fmtid="{D5CDD505-2E9C-101B-9397-08002B2CF9AE}" pid="8" name="MSIP_Label_4447dd6a-a4a1-440b-a6a3-9124ef1ee017_ContentBits">
    <vt:lpwstr>0</vt:lpwstr>
  </property>
  <property fmtid="{D5CDD505-2E9C-101B-9397-08002B2CF9AE}" pid="9" name="LM SIP Document Sensitivity">
    <vt:lpwstr/>
  </property>
  <property fmtid="{D5CDD505-2E9C-101B-9397-08002B2CF9AE}" pid="10" name="Document Author">
    <vt:lpwstr>US\e439271</vt:lpwstr>
  </property>
  <property fmtid="{D5CDD505-2E9C-101B-9397-08002B2CF9AE}" pid="11" name="Document Sensitivity">
    <vt:lpwstr>1</vt:lpwstr>
  </property>
  <property fmtid="{D5CDD505-2E9C-101B-9397-08002B2CF9AE}" pid="12" name="ThirdParty">
    <vt:lpwstr/>
  </property>
  <property fmtid="{D5CDD505-2E9C-101B-9397-08002B2CF9AE}" pid="13" name="OCI Restriction">
    <vt:bool>false</vt:bool>
  </property>
  <property fmtid="{D5CDD505-2E9C-101B-9397-08002B2CF9AE}" pid="14" name="OCI Additional Info">
    <vt:lpwstr/>
  </property>
  <property fmtid="{D5CDD505-2E9C-101B-9397-08002B2CF9AE}" pid="15" name="Allow Header Overwrite">
    <vt:bool>false</vt:bool>
  </property>
  <property fmtid="{D5CDD505-2E9C-101B-9397-08002B2CF9AE}" pid="16" name="Allow Footer Overwrite">
    <vt:bool>false</vt:bool>
  </property>
  <property fmtid="{D5CDD505-2E9C-101B-9397-08002B2CF9AE}" pid="17" name="Multiple Selected">
    <vt:lpwstr>-1</vt:lpwstr>
  </property>
  <property fmtid="{D5CDD505-2E9C-101B-9397-08002B2CF9AE}" pid="18" name="SIPLongWording">
    <vt:lpwstr>_x000d_
_x000d_
</vt:lpwstr>
  </property>
  <property fmtid="{D5CDD505-2E9C-101B-9397-08002B2CF9AE}" pid="19" name="ExpCountry">
    <vt:lpwstr/>
  </property>
  <property fmtid="{D5CDD505-2E9C-101B-9397-08002B2CF9AE}" pid="20" name="SecurityClassification">
    <vt:lpwstr/>
  </property>
  <property fmtid="{D5CDD505-2E9C-101B-9397-08002B2CF9AE}" pid="21" name="TextBoxAndDropdownValues">
    <vt:lpwstr/>
  </property>
</Properties>
</file>